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4577f39b1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332c4fd81bf48ca"/>
    <x:sheet xmlns:r="http://schemas.openxmlformats.org/officeDocument/2006/relationships" name="SamplingDefectLog" sheetId="2" r:id="R5820e401df4f4f6a"/>
    <x:sheet xmlns:r="http://schemas.openxmlformats.org/officeDocument/2006/relationships" name="Rework" sheetId="3" r:id="R88bbe3bec01d425d"/>
  </x:sheets>
</x:workbook>
</file>

<file path=xl/sharedStrings.xml><?xml version="1.0" encoding="utf-8"?>
<x:sst xmlns:x="http://schemas.openxmlformats.org/spreadsheetml/2006/main">
  <x:si>
    <x:t xml:space="preserve">QUALITY LOG — Instructions</x:t>
  </x:si>
  <x:si>
    <x:t xml:space="preserve">Owner: Quality team</x:t>
  </x:si>
  <x:si>
    <x:t xml:space="preserve">Sheets: SamplingDefectLog (hourly) + Rework</x:t>
  </x:si>
  <x:si>
    <x:t xml:space="preserve">Defect Rate % = Quantity / TotalSamples (calculated downstream, not in Excel)</x:t>
  </x:si>
  <x:si>
    <x:t xml:space="preserve">Save as 04_Quality_Log_YYYYMMDD.xlsx into the OneDrive Daily folder</x:t>
  </x:si>
  <x:si>
    <x:t xml:space="preserve">Dataset note: one-week subset (2025-10-20 to 2025-10-26); sample and rework business rules remain preserved.</x:t>
  </x:si>
  <x:si>
    <x:t xml:space="preserve">SAMPLING DEFECT LOG (HOURLY)</x:t>
  </x:si>
  <x:si>
    <x:t xml:space="preserve">Maps to STG_SAMPLINGDEFECTLOG → FACT_DEFECTSAMPLING</x:t>
  </x:si>
  <x:si>
    <x:t xml:space="preserve">One row = Line + Date + Order + Hour + Defect. HourNumber = 0 to 23.</x:t>
  </x:si>
  <x:si>
    <x:t xml:space="preserve">FactoryCode</x:t>
  </x:si>
  <x:si>
    <x:t xml:space="preserve">LineNumber</x:t>
  </x:si>
  <x:si>
    <x:t xml:space="preserve">EventDate</x:t>
  </x:si>
  <x:si>
    <x:t xml:space="preserve">OrderNumber</x:t>
  </x:si>
  <x:si>
    <x:t xml:space="preserve">HourNumber</x:t>
  </x:si>
  <x:si>
    <x:t xml:space="preserve">ShiftCode</x:t>
  </x:si>
  <x:si>
    <x:t xml:space="preserve">TotalSamples</x:t>
  </x:si>
  <x:si>
    <x:t xml:space="preserve">DefectName</x:t>
  </x:si>
  <x:si>
    <x:t xml:space="preserve">Quantity</x:t>
  </x:si>
  <x:si>
    <x:t xml:space="preserve">KG01</x:t>
  </x:si>
  <x:si>
    <x:t xml:space="preserve">ORD-2025-00019</x:t>
  </x:si>
  <x:si>
    <x:t xml:space="preserve">AM</x:t>
  </x:si>
  <x:si>
    <x:t xml:space="preserve">Choke Neck</x:t>
  </x:si>
  <x:si>
    <x:t xml:space="preserve">Overpress</x:t>
  </x:si>
  <x:si>
    <x:t xml:space="preserve">PM</x:t>
  </x:si>
  <x:si>
    <x:t xml:space="preserve">ORD-2025-00020</x:t>
  </x:si>
  <x:si>
    <x:t xml:space="preserve">Distortion</x:t>
  </x:si>
  <x:si>
    <x:t xml:space="preserve">Thin Wall</x:t>
  </x:si>
  <x:si>
    <x:t xml:space="preserve">Stone</x:t>
  </x:si>
  <x:si>
    <x:t xml:space="preserve">Blister</x:t>
  </x:si>
  <x:si>
    <x:t xml:space="preserve">Bird Swing</x:t>
  </x:si>
  <x:si>
    <x:t xml:space="preserve">Crack</x:t>
  </x:si>
  <x:si>
    <x:t xml:space="preserve">ORD-2025-00021</x:t>
  </x:si>
  <x:si>
    <x:t xml:space="preserve">ORD-2025-00056</x:t>
  </x:si>
  <x:si>
    <x:t xml:space="preserve">Chip</x:t>
  </x:si>
  <x:si>
    <x:t xml:space="preserve">ORD-2025-00057</x:t>
  </x:si>
  <x:si>
    <x:t xml:space="preserve">ORD-2025-00058</x:t>
  </x:si>
  <x:si>
    <x:t xml:space="preserve">ORD-2025-00092</x:t>
  </x:si>
  <x:si>
    <x:t xml:space="preserve">ORD-2025-00093</x:t>
  </x:si>
  <x:si>
    <x:t xml:space="preserve">ORD-2025-00094</x:t>
  </x:si>
  <x:si>
    <x:t xml:space="preserve">ORD-2025-00124</x:t>
  </x:si>
  <x:si>
    <x:t xml:space="preserve">ORD-2025-00125</x:t>
  </x:si>
  <x:si>
    <x:t xml:space="preserve">ORD-2025-00126</x:t>
  </x:si>
  <x:si>
    <x:t xml:space="preserve">ORD-2025-00161</x:t>
  </x:si>
  <x:si>
    <x:t xml:space="preserve">ORD-2025-00162</x:t>
  </x:si>
  <x:si>
    <x:t xml:space="preserve">REWORK LOG</x:t>
  </x:si>
  <x:si>
    <x:t xml:space="preserve">Maps to STG_REWORK → FACT_REWORK</x:t>
  </x:si>
  <x:si>
    <x:t xml:space="preserve">ReworkedUnits = PalletsCount × ArticlesPerPallet (calculated in DWH).</x:t>
  </x:si>
  <x:si>
    <x:t xml:space="preserve">ReworkStatusName</x:t>
  </x:si>
  <x:si>
    <x:t xml:space="preserve">PalletsCount</x:t>
  </x:si>
  <x:si>
    <x:t xml:space="preserve">ArticlesPerPallet</x:t>
  </x:si>
  <x:si>
    <x:t xml:space="preserve">Move to Cullet</x:t>
  </x:si>
  <x:si>
    <x:t xml:space="preserve">Resorted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</x:si>
</x:sst>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6">
    <x:font>
      <x:sz val="11"/>
      <x:name val="Carlito"/>
    </x:font>
    <x:font>
      <x:b/>
      <x:sz val="16"/>
      <x:color rgb="FF1F4E78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Font="1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/>
    </x:xf>
    <x:xf numFmtId="0" fontId="0" fillId="3" borderId="0" xfId="0" applyFill="1"/>
    <x:xf numFmtId="164" fontId="0" fillId="4" borderId="0" xfId="0" applyNumberFormat="1" applyFill="1"/>
    <x:xf numFmtId="0" fontId="0" fillId="5" borderId="0" xfId="0" applyFill="1"/>
    <x:xf numFmtId="3" fontId="0" fillId="5" borderId="0" xfId="0" applyNumberForma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164" fontId="0" fillId="4" borderId="1" xfId="0" applyNumberFormat="1" applyFont="1" applyFill="1" applyBorder="1"/>
    <x:xf numFmtId="0" fontId="0" fillId="5" borderId="1" xfId="0" applyNumberFormat="1" applyFont="1" applyFill="1" applyBorder="1"/>
    <x:xf numFmtId="3" fontId="0" fillId="5" borderId="1" xfId="0" applyNumberFormat="1" applyFont="1" applyFill="1" applyBorder="1"/>
    <x:xf numFmtId="0" fontId="1" fillId="6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2ba7b71e64c1f" /><Relationship Type="http://schemas.openxmlformats.org/officeDocument/2006/relationships/theme" Target="/xl/theme/theme1.xml" Id="R5c2453971b1b4e5a" /><Relationship Type="http://schemas.openxmlformats.org/officeDocument/2006/relationships/sharedStrings" Target="/xl/sharedStrings.xml" Id="R5dfeef86478343a2" /><Relationship Type="http://schemas.openxmlformats.org/officeDocument/2006/relationships/worksheet" Target="/xl/worksheets/sheet1.xml" Id="R4332c4fd81bf48ca" /><Relationship Type="http://schemas.openxmlformats.org/officeDocument/2006/relationships/worksheet" Target="/xl/worksheets/sheet2.xml" Id="R5820e401df4f4f6a" /><Relationship Type="http://schemas.openxmlformats.org/officeDocument/2006/relationships/worksheet" Target="/xl/worksheets/sheet3.xml" Id="R88bbe3bec01d425d" /></Relationships>
</file>

<file path=xl/tables/table1.xml><?xml version="1.0" encoding="utf-8"?>
<x:table xmlns:x="http://schemas.openxmlformats.org/spreadsheetml/2006/main" id="1" name="SamplingDefectLog_Fact" displayName="SamplingDefectLog_Fact" ref="A4:I149" totalsRowShown="0">
  <x:tableColumns count="9">
    <x:tableColumn id="1" name="FactoryCode"/>
    <x:tableColumn id="2" name="LineNumber"/>
    <x:tableColumn id="3" name="EventDate"/>
    <x:tableColumn id="4" name="OrderNumber"/>
    <x:tableColumn id="5" name="HourNumber"/>
    <x:tableColumn id="6" name="ShiftCode"/>
    <x:tableColumn id="7" name="TotalSamples"/>
    <x:tableColumn id="8" name="DefectName"/>
    <x:tableColumn id="9" name="Qua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work_Fact" displayName="Rework_Fact" ref="A4:H22" totalsRowShown="0">
  <x:tableColumns count="8">
    <x:tableColumn id="1" name="FactoryCode"/>
    <x:tableColumn id="2" name="LineNumber"/>
    <x:tableColumn id="3" name="EventDate"/>
    <x:tableColumn id="4" name="ShiftCode"/>
    <x:tableColumn id="5" name="OrderNumber"/>
    <x:tableColumn id="6" name="ReworkStatusName"/>
    <x:tableColumn id="7" name="PalletsCount"/>
    <x:tableColumn id="8" name="ArticlesPerPall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3229ad999e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8f13b500be41fc" /></Relationships>
</file>

<file path=xl/worksheets/sheet1.xml><?xml version="1.0" encoding="utf-8"?>
<x:worksheet xmlns:x="http://schemas.openxmlformats.org/spreadsheetml/2006/main">
  <x:sheetFormatPr defaultRowHeight="14.25"/>
  <x:cols>
    <x:col min="1" max="1" width="110" hidden="0" customWidth="1"/>
  </x:cols>
  <x:sheetData>
    <x:row r="1" ht="20.25">
      <x:c r="A1" s="2" t="s">
        <x:v>0</x:v>
      </x:c>
    </x:row>
    <x:row r="2">
      <x:c r="A2" s="3"/>
    </x:row>
    <x:row r="3">
      <x:c r="A3" s="3" t="s">
        <x:v>1</x:v>
      </x:c>
    </x:row>
    <x:row r="4">
      <x:c r="A4" s="3"/>
    </x:row>
    <x:row r="5">
      <x:c r="A5" s="3" t="s">
        <x:v>2</x:v>
      </x:c>
    </x:row>
    <x:row r="6">
      <x:c r="A6" s="3"/>
    </x:row>
    <x:row r="7">
      <x:c r="A7" s="3" t="s">
        <x:v>3</x:v>
      </x:c>
    </x:row>
    <x:row r="8">
      <x:c r="A8" s="3"/>
    </x:row>
    <x:row r="9">
      <x:c r="A9" s="3" t="s">
        <x:v>4</x:v>
      </x:c>
    </x:row>
    <x:row r="10">
      <x:c r="A10" s="3"/>
    </x:row>
    <x:row r="11">
      <x:c r="A11" s="3" t="s">
        <x:v>5</x:v>
      </x:c>
    </x:row>
    <x:row r="13">
      <x:c r="A13" t="str">
        <x:v>QA EXTENSION</x:v>
      </x:c>
    </x:row>
    <x:row r="14">
      <x:c r="A14" t="str">
        <x:v>SamplingDefectLog adds record ID, sample/defect quantity checks and hour-range checks.</x:v>
      </x:c>
    </x:row>
    <x:row r="15">
      <x:c r="A15" t="str">
        <x:v>Rework adds calculated ReworkedUnits, stable record ID and quantity checks.</x:v>
      </x:c>
    </x:row>
    <x:row r="16">
      <x:c r="A16" t="str">
        <x:v>Original source columns are retained unchanged for Power BI compatibility.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20" customWidth="1"/>
    <x:col min="5" max="5" width="14" customWidth="1"/>
    <x:col min="6" max="6" width="12" customWidth="1"/>
    <x:col min="7" max="7" width="14" customWidth="1"/>
    <x:col min="8" max="8" width="20" customWidth="1"/>
    <x:col min="9" max="9" width="12" customWidth="1"/>
  </x:cols>
  <x:sheetData>
    <x:row r="1" ht="20.25">
      <x:c r="A1" s="26" t="s">
        <x:v>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15">
      <x:c r="A2" s="4" t="s">
        <x:v>7</x:v>
      </x:c>
    </x:row>
    <x:row r="3">
      <x:c r="A3" s="5" t="s">
        <x:v>8</x:v>
      </x:c>
    </x:row>
    <x:row r="4" ht="30" customHeight="1">
      <x:c r="A4" s="28" t="s">
        <x:v>9</x:v>
      </x:c>
      <x:c r="B4" s="28" t="s">
        <x:v>10</x:v>
      </x:c>
      <x:c r="C4" s="28" t="s">
        <x:v>11</x:v>
      </x:c>
      <x:c r="D4" s="28" t="s">
        <x:v>12</x:v>
      </x:c>
      <x:c r="E4" s="28" t="s">
        <x:v>13</x:v>
      </x:c>
      <x:c r="F4" s="28" t="s">
        <x:v>14</x:v>
      </x:c>
      <x:c r="G4" s="28" t="s">
        <x:v>15</x:v>
      </x:c>
      <x:c r="H4" s="28" t="s">
        <x:v>16</x:v>
      </x:c>
      <x:c r="I4" s="28" t="s">
        <x:v>17</x:v>
      </x:c>
      <x:c r="J4" s="32" t="str">
        <x:v>SamplingRecordID</x:v>
      </x:c>
      <x:c r="K4" s="32" t="str">
        <x:v>QuantityCheck</x:v>
      </x:c>
      <x:c r="L4" s="32" t="str">
        <x:v>HourCheck</x:v>
      </x:c>
      <x:c r="M4" s="32" t="str">
        <x:v>DataQualityCheck</x:v>
      </x:c>
    </x:row>
    <x:row r="5" ht="18" customHeight="1">
      <x:c r="A5" s="7" t="s">
        <x:v>18</x:v>
      </x:c>
      <x:c r="B5" s="7">
        <x:v>21</x:v>
      </x:c>
      <x:c r="C5" s="8">
        <x:v>45950</x:v>
      </x:c>
      <x:c r="D5" s="7" t="s">
        <x:v>19</x:v>
      </x:c>
      <x:c r="E5" s="9">
        <x:v>9</x:v>
      </x:c>
      <x:c r="F5" s="7" t="s">
        <x:v>20</x:v>
      </x:c>
      <x:c r="G5" s="10">
        <x:v>50</x:v>
      </x:c>
      <x:c r="H5" s="7" t="s">
        <x:v>21</x:v>
      </x:c>
      <x:c r="I5" s="10">
        <x:v>1</x:v>
      </x:c>
      <x:c r="J5" t="str">
        <x:f>IF(A5="","", "SAMP-"&amp;A5&amp;"-L"&amp;TEXT(B5,"00")&amp;"-"&amp;TEXT(C5,"yyyymmdd")&amp;"-"&amp;D5&amp;"-H"&amp;TEXT(E5,"00")&amp;"-"&amp;H5)</x:f>
        <x:v>SAMP-KG01-L21-20251020-ORD-2025-00019-H09-Choke Neck</x:v>
      </x:c>
      <x:c r="K5" t="str">
        <x:f>IF(A5="","",IF(AND(G5&gt;=0,I5&gt;=0,I5&lt;=G5),"OK","CHECK"))</x:f>
        <x:v>OK</x:v>
      </x:c>
      <x:c r="L5" t="str">
        <x:f>IF(A5="","",IF(AND(E5&gt;=0,E5&lt;=23),"OK","CHECK"))</x:f>
        <x:v>OK</x:v>
      </x:c>
      <x:c r="M5" t="str">
        <x:f>IF(A5="","",IF(AND(K5="OK",L5="OK"),"OK","CHECK"))</x:f>
        <x:v>OK</x:v>
      </x:c>
    </x:row>
    <x:row r="6" ht="18" customHeight="1">
      <x:c r="A6" s="7" t="s">
        <x:v>18</x:v>
      </x:c>
      <x:c r="B6" s="7">
        <x:v>21</x:v>
      </x:c>
      <x:c r="C6" s="8">
        <x:v>45950</x:v>
      </x:c>
      <x:c r="D6" s="7" t="s">
        <x:v>19</x:v>
      </x:c>
      <x:c r="E6" s="9">
        <x:v>15</x:v>
      </x:c>
      <x:c r="F6" s="7" t="s">
        <x:v>20</x:v>
      </x:c>
      <x:c r="G6" s="10">
        <x:v>50</x:v>
      </x:c>
      <x:c r="H6" s="7" t="s">
        <x:v>22</x:v>
      </x:c>
      <x:c r="I6" s="10">
        <x:v>0</x:v>
      </x:c>
      <x:c r="J6" t="str">
        <x:f>IF(A6="","", "SAMP-"&amp;A6&amp;"-L"&amp;TEXT(B6,"00")&amp;"-"&amp;TEXT(C6,"yyyymmdd")&amp;"-"&amp;D6&amp;"-H"&amp;TEXT(E6,"00")&amp;"-"&amp;H6)</x:f>
        <x:v>SAMP-KG01-L21-20251020-ORD-2025-00019-H15-Overpress</x:v>
      </x:c>
      <x:c r="K6" t="str">
        <x:f>IF(A6="","",IF(AND(G6&gt;=0,I6&gt;=0,I6&lt;=G6),"OK","CHECK"))</x:f>
        <x:v>OK</x:v>
      </x:c>
      <x:c r="L6" t="str">
        <x:f>IF(A6="","",IF(AND(E6&gt;=0,E6&lt;=23),"OK","CHECK"))</x:f>
        <x:v>OK</x:v>
      </x:c>
      <x:c r="M6" t="str">
        <x:f>IF(A6="","",IF(AND(K6="OK",L6="OK"),"OK","CHECK"))</x:f>
        <x:v>OK</x:v>
      </x:c>
    </x:row>
    <x:row r="7" ht="18" customHeight="1">
      <x:c r="A7" s="7" t="s">
        <x:v>18</x:v>
      </x:c>
      <x:c r="B7" s="7">
        <x:v>21</x:v>
      </x:c>
      <x:c r="C7" s="8">
        <x:v>45950</x:v>
      </x:c>
      <x:c r="D7" s="7" t="s">
        <x:v>19</x:v>
      </x:c>
      <x:c r="E7" s="9">
        <x:v>20</x:v>
      </x:c>
      <x:c r="F7" s="7" t="s">
        <x:v>23</x:v>
      </x:c>
      <x:c r="G7" s="10">
        <x:v>100</x:v>
      </x:c>
      <x:c r="H7" s="7" t="s">
        <x:v>21</x:v>
      </x:c>
      <x:c r="I7" s="10">
        <x:v>3</x:v>
      </x:c>
      <x:c r="J7" t="str">
        <x:f>IF(A7="","", "SAMP-"&amp;A7&amp;"-L"&amp;TEXT(B7,"00")&amp;"-"&amp;TEXT(C7,"yyyymmdd")&amp;"-"&amp;D7&amp;"-H"&amp;TEXT(E7,"00")&amp;"-"&amp;H7)</x:f>
        <x:v>SAMP-KG01-L21-20251020-ORD-2025-00019-H20-Choke Neck</x:v>
      </x:c>
      <x:c r="K7" t="str">
        <x:f>IF(A7="","",IF(AND(G7&gt;=0,I7&gt;=0,I7&lt;=G7),"OK","CHECK"))</x:f>
        <x:v>OK</x:v>
      </x:c>
      <x:c r="L7" t="str">
        <x:f>IF(A7="","",IF(AND(E7&gt;=0,E7&lt;=23),"OK","CHECK"))</x:f>
        <x:v>OK</x:v>
      </x:c>
      <x:c r="M7" t="str">
        <x:f>IF(A7="","",IF(AND(K7="OK",L7="OK"),"OK","CHECK"))</x:f>
        <x:v>OK</x:v>
      </x:c>
    </x:row>
    <x:row r="8" ht="18" customHeight="1">
      <x:c r="A8" s="7" t="s">
        <x:v>18</x:v>
      </x:c>
      <x:c r="B8" s="7">
        <x:v>21</x:v>
      </x:c>
      <x:c r="C8" s="8">
        <x:v>45950</x:v>
      </x:c>
      <x:c r="D8" s="7" t="s">
        <x:v>19</x:v>
      </x:c>
      <x:c r="E8" s="9">
        <x:v>23</x:v>
      </x:c>
      <x:c r="F8" s="7" t="s">
        <x:v>23</x:v>
      </x:c>
      <x:c r="G8" s="10">
        <x:v>150</x:v>
      </x:c>
      <x:c r="H8" s="7" t="s">
        <x:v>22</x:v>
      </x:c>
      <x:c r="I8" s="10">
        <x:v>5</x:v>
      </x:c>
      <x:c r="J8" t="str">
        <x:f>IF(A8="","", "SAMP-"&amp;A8&amp;"-L"&amp;TEXT(B8,"00")&amp;"-"&amp;TEXT(C8,"yyyymmdd")&amp;"-"&amp;D8&amp;"-H"&amp;TEXT(E8,"00")&amp;"-"&amp;H8)</x:f>
        <x:v>SAMP-KG01-L21-20251020-ORD-2025-00019-H23-Overpress</x:v>
      </x:c>
      <x:c r="K8" t="str">
        <x:f>IF(A8="","",IF(AND(G8&gt;=0,I8&gt;=0,I8&lt;=G8),"OK","CHECK"))</x:f>
        <x:v>OK</x:v>
      </x:c>
      <x:c r="L8" t="str">
        <x:f>IF(A8="","",IF(AND(E8&gt;=0,E8&lt;=23),"OK","CHECK"))</x:f>
        <x:v>OK</x:v>
      </x:c>
      <x:c r="M8" t="str">
        <x:f>IF(A8="","",IF(AND(K8="OK",L8="OK"),"OK","CHECK"))</x:f>
        <x:v>OK</x:v>
      </x:c>
    </x:row>
    <x:row r="9" ht="18" customHeight="1">
      <x:c r="A9" s="7" t="s">
        <x:v>18</x:v>
      </x:c>
      <x:c r="B9" s="7">
        <x:v>21</x:v>
      </x:c>
      <x:c r="C9" s="8">
        <x:v>45951</x:v>
      </x:c>
      <x:c r="D9" s="7" t="s">
        <x:v>24</x:v>
      </x:c>
      <x:c r="E9" s="9">
        <x:v>7</x:v>
      </x:c>
      <x:c r="F9" s="7" t="s">
        <x:v>20</x:v>
      </x:c>
      <x:c r="G9" s="10">
        <x:v>50</x:v>
      </x:c>
      <x:c r="H9" s="7" t="s">
        <x:v>25</x:v>
      </x:c>
      <x:c r="I9" s="10">
        <x:v>0</x:v>
      </x:c>
      <x:c r="J9" t="str">
        <x:f>IF(A9="","", "SAMP-"&amp;A9&amp;"-L"&amp;TEXT(B9,"00")&amp;"-"&amp;TEXT(C9,"yyyymmdd")&amp;"-"&amp;D9&amp;"-H"&amp;TEXT(E9,"00")&amp;"-"&amp;H9)</x:f>
        <x:v>SAMP-KG01-L21-20251021-ORD-2025-00020-H07-Distortion</x:v>
      </x:c>
      <x:c r="K9" t="str">
        <x:f>IF(A9="","",IF(AND(G9&gt;=0,I9&gt;=0,I9&lt;=G9),"OK","CHECK"))</x:f>
        <x:v>OK</x:v>
      </x:c>
      <x:c r="L9" t="str">
        <x:f>IF(A9="","",IF(AND(E9&gt;=0,E9&lt;=23),"OK","CHECK"))</x:f>
        <x:v>OK</x:v>
      </x:c>
      <x:c r="M9" t="str">
        <x:f>IF(A9="","",IF(AND(K9="OK",L9="OK"),"OK","CHECK"))</x:f>
        <x:v>OK</x:v>
      </x:c>
    </x:row>
    <x:row r="10" ht="18" customHeight="1">
      <x:c r="A10" s="7" t="s">
        <x:v>18</x:v>
      </x:c>
      <x:c r="B10" s="7">
        <x:v>21</x:v>
      </x:c>
      <x:c r="C10" s="8">
        <x:v>45951</x:v>
      </x:c>
      <x:c r="D10" s="7" t="s">
        <x:v>24</x:v>
      </x:c>
      <x:c r="E10" s="9">
        <x:v>12</x:v>
      </x:c>
      <x:c r="F10" s="7" t="s">
        <x:v>20</x:v>
      </x:c>
      <x:c r="G10" s="10">
        <x:v>200</x:v>
      </x:c>
      <x:c r="H10" s="7" t="s">
        <x:v>26</x:v>
      </x:c>
      <x:c r="I10" s="10">
        <x:v>7</x:v>
      </x:c>
      <x:c r="J10" t="str">
        <x:f>IF(A10="","", "SAMP-"&amp;A10&amp;"-L"&amp;TEXT(B10,"00")&amp;"-"&amp;TEXT(C10,"yyyymmdd")&amp;"-"&amp;D10&amp;"-H"&amp;TEXT(E10,"00")&amp;"-"&amp;H10)</x:f>
        <x:v>SAMP-KG01-L21-20251021-ORD-2025-00020-H12-Thin Wall</x:v>
      </x:c>
      <x:c r="K10" t="str">
        <x:f>IF(A10="","",IF(AND(G10&gt;=0,I10&gt;=0,I10&lt;=G10),"OK","CHECK"))</x:f>
        <x:v>OK</x:v>
      </x:c>
      <x:c r="L10" t="str">
        <x:f>IF(A10="","",IF(AND(E10&gt;=0,E10&lt;=23),"OK","CHECK"))</x:f>
        <x:v>OK</x:v>
      </x:c>
      <x:c r="M10" t="str">
        <x:f>IF(A10="","",IF(AND(K10="OK",L10="OK"),"OK","CHECK"))</x:f>
        <x:v>OK</x:v>
      </x:c>
    </x:row>
    <x:row r="11" ht="18" customHeight="1">
      <x:c r="A11" s="7" t="s">
        <x:v>18</x:v>
      </x:c>
      <x:c r="B11" s="7">
        <x:v>21</x:v>
      </x:c>
      <x:c r="C11" s="8">
        <x:v>45951</x:v>
      </x:c>
      <x:c r="D11" s="7" t="s">
        <x:v>24</x:v>
      </x:c>
      <x:c r="E11" s="9">
        <x:v>16</x:v>
      </x:c>
      <x:c r="F11" s="7" t="s">
        <x:v>20</x:v>
      </x:c>
      <x:c r="G11" s="10">
        <x:v>100</x:v>
      </x:c>
      <x:c r="H11" s="7" t="s">
        <x:v>27</x:v>
      </x:c>
      <x:c r="I11" s="10">
        <x:v>10</x:v>
      </x:c>
      <x:c r="J11" t="str">
        <x:f>IF(A11="","", "SAMP-"&amp;A11&amp;"-L"&amp;TEXT(B11,"00")&amp;"-"&amp;TEXT(C11,"yyyymmdd")&amp;"-"&amp;D11&amp;"-H"&amp;TEXT(E11,"00")&amp;"-"&amp;H11)</x:f>
        <x:v>SAMP-KG01-L21-20251021-ORD-2025-00020-H16-Stone</x:v>
      </x:c>
      <x:c r="K11" t="str">
        <x:f>IF(A11="","",IF(AND(G11&gt;=0,I11&gt;=0,I11&lt;=G11),"OK","CHECK"))</x:f>
        <x:v>OK</x:v>
      </x:c>
      <x:c r="L11" t="str">
        <x:f>IF(A11="","",IF(AND(E11&gt;=0,E11&lt;=23),"OK","CHECK"))</x:f>
        <x:v>OK</x:v>
      </x:c>
      <x:c r="M11" t="str">
        <x:f>IF(A11="","",IF(AND(K11="OK",L11="OK"),"OK","CHECK"))</x:f>
        <x:v>OK</x:v>
      </x:c>
    </x:row>
    <x:row r="12" ht="18" customHeight="1">
      <x:c r="A12" s="7" t="s">
        <x:v>18</x:v>
      </x:c>
      <x:c r="B12" s="7">
        <x:v>21</x:v>
      </x:c>
      <x:c r="C12" s="8">
        <x:v>45951</x:v>
      </x:c>
      <x:c r="D12" s="7" t="s">
        <x:v>24</x:v>
      </x:c>
      <x:c r="E12" s="9">
        <x:v>20</x:v>
      </x:c>
      <x:c r="F12" s="7" t="s">
        <x:v>23</x:v>
      </x:c>
      <x:c r="G12" s="10">
        <x:v>200</x:v>
      </x:c>
      <x:c r="H12" s="7" t="s">
        <x:v>28</x:v>
      </x:c>
      <x:c r="I12" s="10">
        <x:v>6</x:v>
      </x:c>
      <x:c r="J12" t="str">
        <x:f>IF(A12="","", "SAMP-"&amp;A12&amp;"-L"&amp;TEXT(B12,"00")&amp;"-"&amp;TEXT(C12,"yyyymmdd")&amp;"-"&amp;D12&amp;"-H"&amp;TEXT(E12,"00")&amp;"-"&amp;H12)</x:f>
        <x:v>SAMP-KG01-L21-20251021-ORD-2025-00020-H20-Blister</x:v>
      </x:c>
      <x:c r="K12" t="str">
        <x:f>IF(A12="","",IF(AND(G12&gt;=0,I12&gt;=0,I12&lt;=G12),"OK","CHECK"))</x:f>
        <x:v>OK</x:v>
      </x:c>
      <x:c r="L12" t="str">
        <x:f>IF(A12="","",IF(AND(E12&gt;=0,E12&lt;=23),"OK","CHECK"))</x:f>
        <x:v>OK</x:v>
      </x:c>
      <x:c r="M12" t="str">
        <x:f>IF(A12="","",IF(AND(K12="OK",L12="OK"),"OK","CHECK"))</x:f>
        <x:v>OK</x:v>
      </x:c>
    </x:row>
    <x:row r="13" ht="18" customHeight="1">
      <x:c r="A13" s="7" t="s">
        <x:v>18</x:v>
      </x:c>
      <x:c r="B13" s="7">
        <x:v>21</x:v>
      </x:c>
      <x:c r="C13" s="8">
        <x:v>45951</x:v>
      </x:c>
      <x:c r="D13" s="7" t="s">
        <x:v>24</x:v>
      </x:c>
      <x:c r="E13" s="9">
        <x:v>23</x:v>
      </x:c>
      <x:c r="F13" s="7" t="s">
        <x:v>23</x:v>
      </x:c>
      <x:c r="G13" s="10">
        <x:v>200</x:v>
      </x:c>
      <x:c r="H13" s="7" t="s">
        <x:v>22</x:v>
      </x:c>
      <x:c r="I13" s="10">
        <x:v>0</x:v>
      </x:c>
      <x:c r="J13" t="str">
        <x:f>IF(A13="","", "SAMP-"&amp;A13&amp;"-L"&amp;TEXT(B13,"00")&amp;"-"&amp;TEXT(C13,"yyyymmdd")&amp;"-"&amp;D13&amp;"-H"&amp;TEXT(E13,"00")&amp;"-"&amp;H13)</x:f>
        <x:v>SAMP-KG01-L21-20251021-ORD-2025-00020-H23-Overpress</x:v>
      </x:c>
      <x:c r="K13" t="str">
        <x:f>IF(A13="","",IF(AND(G13&gt;=0,I13&gt;=0,I13&lt;=G13),"OK","CHECK"))</x:f>
        <x:v>OK</x:v>
      </x:c>
      <x:c r="L13" t="str">
        <x:f>IF(A13="","",IF(AND(E13&gt;=0,E13&lt;=23),"OK","CHECK"))</x:f>
        <x:v>OK</x:v>
      </x:c>
      <x:c r="M13" t="str">
        <x:f>IF(A13="","",IF(AND(K13="OK",L13="OK"),"OK","CHECK"))</x:f>
        <x:v>OK</x:v>
      </x:c>
    </x:row>
    <x:row r="14" ht="18" customHeight="1">
      <x:c r="A14" s="7" t="s">
        <x:v>18</x:v>
      </x:c>
      <x:c r="B14" s="7">
        <x:v>21</x:v>
      </x:c>
      <x:c r="C14" s="8">
        <x:v>45952</x:v>
      </x:c>
      <x:c r="D14" s="7" t="s">
        <x:v>24</x:v>
      </x:c>
      <x:c r="E14" s="9">
        <x:v>9</x:v>
      </x:c>
      <x:c r="F14" s="7" t="s">
        <x:v>20</x:v>
      </x:c>
      <x:c r="G14" s="10">
        <x:v>200</x:v>
      </x:c>
      <x:c r="H14" s="7" t="s">
        <x:v>25</x:v>
      </x:c>
      <x:c r="I14" s="10">
        <x:v>4</x:v>
      </x:c>
      <x:c r="J14" t="str">
        <x:f>IF(A14="","", "SAMP-"&amp;A14&amp;"-L"&amp;TEXT(B14,"00")&amp;"-"&amp;TEXT(C14,"yyyymmdd")&amp;"-"&amp;D14&amp;"-H"&amp;TEXT(E14,"00")&amp;"-"&amp;H14)</x:f>
        <x:v>SAMP-KG01-L21-20251022-ORD-2025-00020-H09-Distortion</x:v>
      </x:c>
      <x:c r="K14" t="str">
        <x:f>IF(A14="","",IF(AND(G14&gt;=0,I14&gt;=0,I14&lt;=G14),"OK","CHECK"))</x:f>
        <x:v>OK</x:v>
      </x:c>
      <x:c r="L14" t="str">
        <x:f>IF(A14="","",IF(AND(E14&gt;=0,E14&lt;=23),"OK","CHECK"))</x:f>
        <x:v>OK</x:v>
      </x:c>
      <x:c r="M14" t="str">
        <x:f>IF(A14="","",IF(AND(K14="OK",L14="OK"),"OK","CHECK"))</x:f>
        <x:v>OK</x:v>
      </x:c>
    </x:row>
    <x:row r="15" ht="18" customHeight="1">
      <x:c r="A15" s="7" t="s">
        <x:v>18</x:v>
      </x:c>
      <x:c r="B15" s="7">
        <x:v>21</x:v>
      </x:c>
      <x:c r="C15" s="8">
        <x:v>45952</x:v>
      </x:c>
      <x:c r="D15" s="7" t="s">
        <x:v>24</x:v>
      </x:c>
      <x:c r="E15" s="9">
        <x:v>15</x:v>
      </x:c>
      <x:c r="F15" s="7" t="s">
        <x:v>20</x:v>
      </x:c>
      <x:c r="G15" s="10">
        <x:v>100</x:v>
      </x:c>
      <x:c r="H15" s="7" t="s">
        <x:v>22</x:v>
      </x:c>
      <x:c r="I15" s="10">
        <x:v>2</x:v>
      </x:c>
      <x:c r="J15" t="str">
        <x:f>IF(A15="","", "SAMP-"&amp;A15&amp;"-L"&amp;TEXT(B15,"00")&amp;"-"&amp;TEXT(C15,"yyyymmdd")&amp;"-"&amp;D15&amp;"-H"&amp;TEXT(E15,"00")&amp;"-"&amp;H15)</x:f>
        <x:v>SAMP-KG01-L21-20251022-ORD-2025-00020-H15-Overpress</x:v>
      </x:c>
      <x:c r="K15" t="str">
        <x:f>IF(A15="","",IF(AND(G15&gt;=0,I15&gt;=0,I15&lt;=G15),"OK","CHECK"))</x:f>
        <x:v>OK</x:v>
      </x:c>
      <x:c r="L15" t="str">
        <x:f>IF(A15="","",IF(AND(E15&gt;=0,E15&lt;=23),"OK","CHECK"))</x:f>
        <x:v>OK</x:v>
      </x:c>
      <x:c r="M15" t="str">
        <x:f>IF(A15="","",IF(AND(K15="OK",L15="OK"),"OK","CHECK"))</x:f>
        <x:v>OK</x:v>
      </x:c>
    </x:row>
    <x:row r="16" ht="18" customHeight="1">
      <x:c r="A16" s="7" t="s">
        <x:v>18</x:v>
      </x:c>
      <x:c r="B16" s="7">
        <x:v>21</x:v>
      </x:c>
      <x:c r="C16" s="8">
        <x:v>45952</x:v>
      </x:c>
      <x:c r="D16" s="7" t="s">
        <x:v>24</x:v>
      </x:c>
      <x:c r="E16" s="9">
        <x:v>20</x:v>
      </x:c>
      <x:c r="F16" s="7" t="s">
        <x:v>23</x:v>
      </x:c>
      <x:c r="G16" s="10">
        <x:v>100</x:v>
      </x:c>
      <x:c r="H16" s="7" t="s">
        <x:v>29</x:v>
      </x:c>
      <x:c r="I16" s="10">
        <x:v>2</x:v>
      </x:c>
      <x:c r="J16" t="str">
        <x:f>IF(A16="","", "SAMP-"&amp;A16&amp;"-L"&amp;TEXT(B16,"00")&amp;"-"&amp;TEXT(C16,"yyyymmdd")&amp;"-"&amp;D16&amp;"-H"&amp;TEXT(E16,"00")&amp;"-"&amp;H16)</x:f>
        <x:v>SAMP-KG01-L21-20251022-ORD-2025-00020-H20-Bird Swing</x:v>
      </x:c>
      <x:c r="K16" t="str">
        <x:f>IF(A16="","",IF(AND(G16&gt;=0,I16&gt;=0,I16&lt;=G16),"OK","CHECK"))</x:f>
        <x:v>OK</x:v>
      </x:c>
      <x:c r="L16" t="str">
        <x:f>IF(A16="","",IF(AND(E16&gt;=0,E16&lt;=23),"OK","CHECK"))</x:f>
        <x:v>OK</x:v>
      </x:c>
      <x:c r="M16" t="str">
        <x:f>IF(A16="","",IF(AND(K16="OK",L16="OK"),"OK","CHECK"))</x:f>
        <x:v>OK</x:v>
      </x:c>
    </x:row>
    <x:row r="17" ht="18" customHeight="1">
      <x:c r="A17" s="7" t="s">
        <x:v>18</x:v>
      </x:c>
      <x:c r="B17" s="7">
        <x:v>21</x:v>
      </x:c>
      <x:c r="C17" s="8">
        <x:v>45952</x:v>
      </x:c>
      <x:c r="D17" s="7" t="s">
        <x:v>24</x:v>
      </x:c>
      <x:c r="E17" s="9">
        <x:v>23</x:v>
      </x:c>
      <x:c r="F17" s="7" t="s">
        <x:v>23</x:v>
      </x:c>
      <x:c r="G17" s="10">
        <x:v>200</x:v>
      </x:c>
      <x:c r="H17" s="7" t="s">
        <x:v>25</x:v>
      </x:c>
      <x:c r="I17" s="10">
        <x:v>3</x:v>
      </x:c>
      <x:c r="J17" t="str">
        <x:f>IF(A17="","", "SAMP-"&amp;A17&amp;"-L"&amp;TEXT(B17,"00")&amp;"-"&amp;TEXT(C17,"yyyymmdd")&amp;"-"&amp;D17&amp;"-H"&amp;TEXT(E17,"00")&amp;"-"&amp;H17)</x:f>
        <x:v>SAMP-KG01-L21-20251022-ORD-2025-00020-H23-Distortion</x:v>
      </x:c>
      <x:c r="K17" t="str">
        <x:f>IF(A17="","",IF(AND(G17&gt;=0,I17&gt;=0,I17&lt;=G17),"OK","CHECK"))</x:f>
        <x:v>OK</x:v>
      </x:c>
      <x:c r="L17" t="str">
        <x:f>IF(A17="","",IF(AND(E17&gt;=0,E17&lt;=23),"OK","CHECK"))</x:f>
        <x:v>OK</x:v>
      </x:c>
      <x:c r="M17" t="str">
        <x:f>IF(A17="","",IF(AND(K17="OK",L17="OK"),"OK","CHECK"))</x:f>
        <x:v>OK</x:v>
      </x:c>
    </x:row>
    <x:row r="18" ht="18" customHeight="1">
      <x:c r="A18" s="7" t="s">
        <x:v>18</x:v>
      </x:c>
      <x:c r="B18" s="7">
        <x:v>21</x:v>
      </x:c>
      <x:c r="C18" s="8">
        <x:v>45953</x:v>
      </x:c>
      <x:c r="D18" s="7" t="s">
        <x:v>24</x:v>
      </x:c>
      <x:c r="E18" s="9">
        <x:v>9</x:v>
      </x:c>
      <x:c r="F18" s="7" t="s">
        <x:v>20</x:v>
      </x:c>
      <x:c r="G18" s="10">
        <x:v>50</x:v>
      </x:c>
      <x:c r="H18" s="7" t="s">
        <x:v>30</x:v>
      </x:c>
      <x:c r="I18" s="10">
        <x:v>0</x:v>
      </x:c>
      <x:c r="J18" t="str">
        <x:f>IF(A18="","", "SAMP-"&amp;A18&amp;"-L"&amp;TEXT(B18,"00")&amp;"-"&amp;TEXT(C18,"yyyymmdd")&amp;"-"&amp;D18&amp;"-H"&amp;TEXT(E18,"00")&amp;"-"&amp;H18)</x:f>
        <x:v>SAMP-KG01-L21-20251023-ORD-2025-00020-H09-Crack</x:v>
      </x:c>
      <x:c r="K18" t="str">
        <x:f>IF(A18="","",IF(AND(G18&gt;=0,I18&gt;=0,I18&lt;=G18),"OK","CHECK"))</x:f>
        <x:v>OK</x:v>
      </x:c>
      <x:c r="L18" t="str">
        <x:f>IF(A18="","",IF(AND(E18&gt;=0,E18&lt;=23),"OK","CHECK"))</x:f>
        <x:v>OK</x:v>
      </x:c>
      <x:c r="M18" t="str">
        <x:f>IF(A18="","",IF(AND(K18="OK",L18="OK"),"OK","CHECK"))</x:f>
        <x:v>OK</x:v>
      </x:c>
    </x:row>
    <x:row r="19" ht="18" customHeight="1">
      <x:c r="A19" s="7" t="s">
        <x:v>18</x:v>
      </x:c>
      <x:c r="B19" s="7">
        <x:v>21</x:v>
      </x:c>
      <x:c r="C19" s="8">
        <x:v>45953</x:v>
      </x:c>
      <x:c r="D19" s="7" t="s">
        <x:v>24</x:v>
      </x:c>
      <x:c r="E19" s="9">
        <x:v>15</x:v>
      </x:c>
      <x:c r="F19" s="7" t="s">
        <x:v>20</x:v>
      </x:c>
      <x:c r="G19" s="10">
        <x:v>50</x:v>
      </x:c>
      <x:c r="H19" s="7" t="s">
        <x:v>26</x:v>
      </x:c>
      <x:c r="I19" s="10">
        <x:v>2</x:v>
      </x:c>
      <x:c r="J19" t="str">
        <x:f>IF(A19="","", "SAMP-"&amp;A19&amp;"-L"&amp;TEXT(B19,"00")&amp;"-"&amp;TEXT(C19,"yyyymmdd")&amp;"-"&amp;D19&amp;"-H"&amp;TEXT(E19,"00")&amp;"-"&amp;H19)</x:f>
        <x:v>SAMP-KG01-L21-20251023-ORD-2025-00020-H15-Thin Wall</x:v>
      </x:c>
      <x:c r="K19" t="str">
        <x:f>IF(A19="","",IF(AND(G19&gt;=0,I19&gt;=0,I19&lt;=G19),"OK","CHECK"))</x:f>
        <x:v>OK</x:v>
      </x:c>
      <x:c r="L19" t="str">
        <x:f>IF(A19="","",IF(AND(E19&gt;=0,E19&lt;=23),"OK","CHECK"))</x:f>
        <x:v>OK</x:v>
      </x:c>
      <x:c r="M19" t="str">
        <x:f>IF(A19="","",IF(AND(K19="OK",L19="OK"),"OK","CHECK"))</x:f>
        <x:v>OK</x:v>
      </x:c>
    </x:row>
    <x:row r="20" ht="18" customHeight="1">
      <x:c r="A20" s="7" t="s">
        <x:v>18</x:v>
      </x:c>
      <x:c r="B20" s="7">
        <x:v>21</x:v>
      </x:c>
      <x:c r="C20" s="8">
        <x:v>45953</x:v>
      </x:c>
      <x:c r="D20" s="7" t="s">
        <x:v>24</x:v>
      </x:c>
      <x:c r="E20" s="9">
        <x:v>20</x:v>
      </x:c>
      <x:c r="F20" s="7" t="s">
        <x:v>23</x:v>
      </x:c>
      <x:c r="G20" s="10">
        <x:v>200</x:v>
      </x:c>
      <x:c r="H20" s="7" t="s">
        <x:v>22</x:v>
      </x:c>
      <x:c r="I20" s="10">
        <x:v>1</x:v>
      </x:c>
      <x:c r="J20" t="str">
        <x:f>IF(A20="","", "SAMP-"&amp;A20&amp;"-L"&amp;TEXT(B20,"00")&amp;"-"&amp;TEXT(C20,"yyyymmdd")&amp;"-"&amp;D20&amp;"-H"&amp;TEXT(E20,"00")&amp;"-"&amp;H20)</x:f>
        <x:v>SAMP-KG01-L21-20251023-ORD-2025-00020-H20-Overpress</x:v>
      </x:c>
      <x:c r="K20" t="str">
        <x:f>IF(A20="","",IF(AND(G20&gt;=0,I20&gt;=0,I20&lt;=G20),"OK","CHECK"))</x:f>
        <x:v>OK</x:v>
      </x:c>
      <x:c r="L20" t="str">
        <x:f>IF(A20="","",IF(AND(E20&gt;=0,E20&lt;=23),"OK","CHECK"))</x:f>
        <x:v>OK</x:v>
      </x:c>
      <x:c r="M20" t="str">
        <x:f>IF(A20="","",IF(AND(K20="OK",L20="OK"),"OK","CHECK"))</x:f>
        <x:v>OK</x:v>
      </x:c>
    </x:row>
    <x:row r="21" ht="18" customHeight="1">
      <x:c r="A21" s="7" t="s">
        <x:v>18</x:v>
      </x:c>
      <x:c r="B21" s="7">
        <x:v>21</x:v>
      </x:c>
      <x:c r="C21" s="8">
        <x:v>45953</x:v>
      </x:c>
      <x:c r="D21" s="7" t="s">
        <x:v>24</x:v>
      </x:c>
      <x:c r="E21" s="9">
        <x:v>23</x:v>
      </x:c>
      <x:c r="F21" s="7" t="s">
        <x:v>23</x:v>
      </x:c>
      <x:c r="G21" s="10">
        <x:v>200</x:v>
      </x:c>
      <x:c r="H21" s="7" t="s">
        <x:v>26</x:v>
      </x:c>
      <x:c r="I21" s="10">
        <x:v>2</x:v>
      </x:c>
      <x:c r="J21" t="str">
        <x:f>IF(A21="","", "SAMP-"&amp;A21&amp;"-L"&amp;TEXT(B21,"00")&amp;"-"&amp;TEXT(C21,"yyyymmdd")&amp;"-"&amp;D21&amp;"-H"&amp;TEXT(E21,"00")&amp;"-"&amp;H21)</x:f>
        <x:v>SAMP-KG01-L21-20251023-ORD-2025-00020-H23-Thin Wall</x:v>
      </x:c>
      <x:c r="K21" t="str">
        <x:f>IF(A21="","",IF(AND(G21&gt;=0,I21&gt;=0,I21&lt;=G21),"OK","CHECK"))</x:f>
        <x:v>OK</x:v>
      </x:c>
      <x:c r="L21" t="str">
        <x:f>IF(A21="","",IF(AND(E21&gt;=0,E21&lt;=23),"OK","CHECK"))</x:f>
        <x:v>OK</x:v>
      </x:c>
      <x:c r="M21" t="str">
        <x:f>IF(A21="","",IF(AND(K21="OK",L21="OK"),"OK","CHECK"))</x:f>
        <x:v>OK</x:v>
      </x:c>
    </x:row>
    <x:row r="22" ht="18" customHeight="1">
      <x:c r="A22" s="7" t="s">
        <x:v>18</x:v>
      </x:c>
      <x:c r="B22" s="7">
        <x:v>21</x:v>
      </x:c>
      <x:c r="C22" s="8">
        <x:v>45954</x:v>
      </x:c>
      <x:c r="D22" s="7" t="s">
        <x:v>24</x:v>
      </x:c>
      <x:c r="E22" s="9">
        <x:v>9</x:v>
      </x:c>
      <x:c r="F22" s="7" t="s">
        <x:v>20</x:v>
      </x:c>
      <x:c r="G22" s="10">
        <x:v>200</x:v>
      </x:c>
      <x:c r="H22" s="7" t="s">
        <x:v>25</x:v>
      </x:c>
      <x:c r="I22" s="10">
        <x:v>1</x:v>
      </x:c>
      <x:c r="J22" t="str">
        <x:f>IF(A22="","", "SAMP-"&amp;A22&amp;"-L"&amp;TEXT(B22,"00")&amp;"-"&amp;TEXT(C22,"yyyymmdd")&amp;"-"&amp;D22&amp;"-H"&amp;TEXT(E22,"00")&amp;"-"&amp;H22)</x:f>
        <x:v>SAMP-KG01-L21-20251024-ORD-2025-00020-H09-Distortion</x:v>
      </x:c>
      <x:c r="K22" t="str">
        <x:f>IF(A22="","",IF(AND(G22&gt;=0,I22&gt;=0,I22&lt;=G22),"OK","CHECK"))</x:f>
        <x:v>OK</x:v>
      </x:c>
      <x:c r="L22" t="str">
        <x:f>IF(A22="","",IF(AND(E22&gt;=0,E22&lt;=23),"OK","CHECK"))</x:f>
        <x:v>OK</x:v>
      </x:c>
      <x:c r="M22" t="str">
        <x:f>IF(A22="","",IF(AND(K22="OK",L22="OK"),"OK","CHECK"))</x:f>
        <x:v>OK</x:v>
      </x:c>
    </x:row>
    <x:row r="23" ht="18" customHeight="1">
      <x:c r="A23" s="7" t="s">
        <x:v>18</x:v>
      </x:c>
      <x:c r="B23" s="7">
        <x:v>21</x:v>
      </x:c>
      <x:c r="C23" s="8">
        <x:v>45954</x:v>
      </x:c>
      <x:c r="D23" s="7" t="s">
        <x:v>24</x:v>
      </x:c>
      <x:c r="E23" s="9">
        <x:v>15</x:v>
      </x:c>
      <x:c r="F23" s="7" t="s">
        <x:v>20</x:v>
      </x:c>
      <x:c r="G23" s="10">
        <x:v>100</x:v>
      </x:c>
      <x:c r="H23" s="7" t="s">
        <x:v>26</x:v>
      </x:c>
      <x:c r="I23" s="10">
        <x:v>0</x:v>
      </x:c>
      <x:c r="J23" t="str">
        <x:f>IF(A23="","", "SAMP-"&amp;A23&amp;"-L"&amp;TEXT(B23,"00")&amp;"-"&amp;TEXT(C23,"yyyymmdd")&amp;"-"&amp;D23&amp;"-H"&amp;TEXT(E23,"00")&amp;"-"&amp;H23)</x:f>
        <x:v>SAMP-KG01-L21-20251024-ORD-2025-00020-H15-Thin Wall</x:v>
      </x:c>
      <x:c r="K23" t="str">
        <x:f>IF(A23="","",IF(AND(G23&gt;=0,I23&gt;=0,I23&lt;=G23),"OK","CHECK"))</x:f>
        <x:v>OK</x:v>
      </x:c>
      <x:c r="L23" t="str">
        <x:f>IF(A23="","",IF(AND(E23&gt;=0,E23&lt;=23),"OK","CHECK"))</x:f>
        <x:v>OK</x:v>
      </x:c>
      <x:c r="M23" t="str">
        <x:f>IF(A23="","",IF(AND(K23="OK",L23="OK"),"OK","CHECK"))</x:f>
        <x:v>OK</x:v>
      </x:c>
    </x:row>
    <x:row r="24" ht="18" customHeight="1">
      <x:c r="A24" s="7" t="s">
        <x:v>18</x:v>
      </x:c>
      <x:c r="B24" s="7">
        <x:v>21</x:v>
      </x:c>
      <x:c r="C24" s="8">
        <x:v>45954</x:v>
      </x:c>
      <x:c r="D24" s="7" t="s">
        <x:v>24</x:v>
      </x:c>
      <x:c r="E24" s="9">
        <x:v>20</x:v>
      </x:c>
      <x:c r="F24" s="7" t="s">
        <x:v>23</x:v>
      </x:c>
      <x:c r="G24" s="10">
        <x:v>150</x:v>
      </x:c>
      <x:c r="H24" s="7" t="s">
        <x:v>28</x:v>
      </x:c>
      <x:c r="I24" s="10">
        <x:v>1</x:v>
      </x:c>
      <x:c r="J24" t="str">
        <x:f>IF(A24="","", "SAMP-"&amp;A24&amp;"-L"&amp;TEXT(B24,"00")&amp;"-"&amp;TEXT(C24,"yyyymmdd")&amp;"-"&amp;D24&amp;"-H"&amp;TEXT(E24,"00")&amp;"-"&amp;H24)</x:f>
        <x:v>SAMP-KG01-L21-20251024-ORD-2025-00020-H20-Blister</x:v>
      </x:c>
      <x:c r="K24" t="str">
        <x:f>IF(A24="","",IF(AND(G24&gt;=0,I24&gt;=0,I24&lt;=G24),"OK","CHECK"))</x:f>
        <x:v>OK</x:v>
      </x:c>
      <x:c r="L24" t="str">
        <x:f>IF(A24="","",IF(AND(E24&gt;=0,E24&lt;=23),"OK","CHECK"))</x:f>
        <x:v>OK</x:v>
      </x:c>
      <x:c r="M24" t="str">
        <x:f>IF(A24="","",IF(AND(K24="OK",L24="OK"),"OK","CHECK"))</x:f>
        <x:v>OK</x:v>
      </x:c>
    </x:row>
    <x:row r="25" ht="18" customHeight="1">
      <x:c r="A25" s="7" t="s">
        <x:v>18</x:v>
      </x:c>
      <x:c r="B25" s="7">
        <x:v>21</x:v>
      </x:c>
      <x:c r="C25" s="8">
        <x:v>45954</x:v>
      </x:c>
      <x:c r="D25" s="7" t="s">
        <x:v>24</x:v>
      </x:c>
      <x:c r="E25" s="9">
        <x:v>23</x:v>
      </x:c>
      <x:c r="F25" s="7" t="s">
        <x:v>23</x:v>
      </x:c>
      <x:c r="G25" s="10">
        <x:v>100</x:v>
      </x:c>
      <x:c r="H25" s="7" t="s">
        <x:v>26</x:v>
      </x:c>
      <x:c r="I25" s="10">
        <x:v>3</x:v>
      </x:c>
      <x:c r="J25" t="str">
        <x:f>IF(A25="","", "SAMP-"&amp;A25&amp;"-L"&amp;TEXT(B25,"00")&amp;"-"&amp;TEXT(C25,"yyyymmdd")&amp;"-"&amp;D25&amp;"-H"&amp;TEXT(E25,"00")&amp;"-"&amp;H25)</x:f>
        <x:v>SAMP-KG01-L21-20251024-ORD-2025-00020-H23-Thin Wall</x:v>
      </x:c>
      <x:c r="K25" t="str">
        <x:f>IF(A25="","",IF(AND(G25&gt;=0,I25&gt;=0,I25&lt;=G25),"OK","CHECK"))</x:f>
        <x:v>OK</x:v>
      </x:c>
      <x:c r="L25" t="str">
        <x:f>IF(A25="","",IF(AND(E25&gt;=0,E25&lt;=23),"OK","CHECK"))</x:f>
        <x:v>OK</x:v>
      </x:c>
      <x:c r="M25" t="str">
        <x:f>IF(A25="","",IF(AND(K25="OK",L25="OK"),"OK","CHECK"))</x:f>
        <x:v>OK</x:v>
      </x:c>
    </x:row>
    <x:row r="26" ht="18" customHeight="1">
      <x:c r="A26" s="7" t="s">
        <x:v>18</x:v>
      </x:c>
      <x:c r="B26" s="7">
        <x:v>21</x:v>
      </x:c>
      <x:c r="C26" s="8">
        <x:v>45955</x:v>
      </x:c>
      <x:c r="D26" s="7" t="s">
        <x:v>31</x:v>
      </x:c>
      <x:c r="E26" s="9">
        <x:v>7</x:v>
      </x:c>
      <x:c r="F26" s="7" t="s">
        <x:v>20</x:v>
      </x:c>
      <x:c r="G26" s="10">
        <x:v>50</x:v>
      </x:c>
      <x:c r="H26" s="7" t="s">
        <x:v>30</x:v>
      </x:c>
      <x:c r="I26" s="10">
        <x:v>4</x:v>
      </x:c>
      <x:c r="J26" t="str">
        <x:f>IF(A26="","", "SAMP-"&amp;A26&amp;"-L"&amp;TEXT(B26,"00")&amp;"-"&amp;TEXT(C26,"yyyymmdd")&amp;"-"&amp;D26&amp;"-H"&amp;TEXT(E26,"00")&amp;"-"&amp;H26)</x:f>
        <x:v>SAMP-KG01-L21-20251025-ORD-2025-00021-H07-Crack</x:v>
      </x:c>
      <x:c r="K26" t="str">
        <x:f>IF(A26="","",IF(AND(G26&gt;=0,I26&gt;=0,I26&lt;=G26),"OK","CHECK"))</x:f>
        <x:v>OK</x:v>
      </x:c>
      <x:c r="L26" t="str">
        <x:f>IF(A26="","",IF(AND(E26&gt;=0,E26&lt;=23),"OK","CHECK"))</x:f>
        <x:v>OK</x:v>
      </x:c>
      <x:c r="M26" t="str">
        <x:f>IF(A26="","",IF(AND(K26="OK",L26="OK"),"OK","CHECK"))</x:f>
        <x:v>OK</x:v>
      </x:c>
    </x:row>
    <x:row r="27" ht="18" customHeight="1">
      <x:c r="A27" s="7" t="s">
        <x:v>18</x:v>
      </x:c>
      <x:c r="B27" s="7">
        <x:v>21</x:v>
      </x:c>
      <x:c r="C27" s="8">
        <x:v>45955</x:v>
      </x:c>
      <x:c r="D27" s="7" t="s">
        <x:v>31</x:v>
      </x:c>
      <x:c r="E27" s="9">
        <x:v>12</x:v>
      </x:c>
      <x:c r="F27" s="7" t="s">
        <x:v>20</x:v>
      </x:c>
      <x:c r="G27" s="10">
        <x:v>50</x:v>
      </x:c>
      <x:c r="H27" s="7" t="s">
        <x:v>26</x:v>
      </x:c>
      <x:c r="I27" s="10">
        <x:v>2</x:v>
      </x:c>
      <x:c r="J27" t="str">
        <x:f>IF(A27="","", "SAMP-"&amp;A27&amp;"-L"&amp;TEXT(B27,"00")&amp;"-"&amp;TEXT(C27,"yyyymmdd")&amp;"-"&amp;D27&amp;"-H"&amp;TEXT(E27,"00")&amp;"-"&amp;H27)</x:f>
        <x:v>SAMP-KG01-L21-20251025-ORD-2025-00021-H12-Thin Wall</x:v>
      </x:c>
      <x:c r="K27" t="str">
        <x:f>IF(A27="","",IF(AND(G27&gt;=0,I27&gt;=0,I27&lt;=G27),"OK","CHECK"))</x:f>
        <x:v>OK</x:v>
      </x:c>
      <x:c r="L27" t="str">
        <x:f>IF(A27="","",IF(AND(E27&gt;=0,E27&lt;=23),"OK","CHECK"))</x:f>
        <x:v>OK</x:v>
      </x:c>
      <x:c r="M27" t="str">
        <x:f>IF(A27="","",IF(AND(K27="OK",L27="OK"),"OK","CHECK"))</x:f>
        <x:v>OK</x:v>
      </x:c>
    </x:row>
    <x:row r="28" ht="18" customHeight="1">
      <x:c r="A28" s="7" t="s">
        <x:v>18</x:v>
      </x:c>
      <x:c r="B28" s="7">
        <x:v>21</x:v>
      </x:c>
      <x:c r="C28" s="8">
        <x:v>45955</x:v>
      </x:c>
      <x:c r="D28" s="7" t="s">
        <x:v>31</x:v>
      </x:c>
      <x:c r="E28" s="9">
        <x:v>16</x:v>
      </x:c>
      <x:c r="F28" s="7" t="s">
        <x:v>20</x:v>
      </x:c>
      <x:c r="G28" s="10">
        <x:v>50</x:v>
      </x:c>
      <x:c r="H28" s="7" t="s">
        <x:v>26</x:v>
      </x:c>
      <x:c r="I28" s="10">
        <x:v>4</x:v>
      </x:c>
      <x:c r="J28" t="str">
        <x:f>IF(A28="","", "SAMP-"&amp;A28&amp;"-L"&amp;TEXT(B28,"00")&amp;"-"&amp;TEXT(C28,"yyyymmdd")&amp;"-"&amp;D28&amp;"-H"&amp;TEXT(E28,"00")&amp;"-"&amp;H28)</x:f>
        <x:v>SAMP-KG01-L21-20251025-ORD-2025-00021-H16-Thin Wall</x:v>
      </x:c>
      <x:c r="K28" t="str">
        <x:f>IF(A28="","",IF(AND(G28&gt;=0,I28&gt;=0,I28&lt;=G28),"OK","CHECK"))</x:f>
        <x:v>OK</x:v>
      </x:c>
      <x:c r="L28" t="str">
        <x:f>IF(A28="","",IF(AND(E28&gt;=0,E28&lt;=23),"OK","CHECK"))</x:f>
        <x:v>OK</x:v>
      </x:c>
      <x:c r="M28" t="str">
        <x:f>IF(A28="","",IF(AND(K28="OK",L28="OK"),"OK","CHECK"))</x:f>
        <x:v>OK</x:v>
      </x:c>
    </x:row>
    <x:row r="29" ht="18" customHeight="1">
      <x:c r="A29" s="7" t="s">
        <x:v>18</x:v>
      </x:c>
      <x:c r="B29" s="7">
        <x:v>21</x:v>
      </x:c>
      <x:c r="C29" s="8">
        <x:v>45955</x:v>
      </x:c>
      <x:c r="D29" s="7" t="s">
        <x:v>31</x:v>
      </x:c>
      <x:c r="E29" s="9">
        <x:v>20</x:v>
      </x:c>
      <x:c r="F29" s="7" t="s">
        <x:v>23</x:v>
      </x:c>
      <x:c r="G29" s="10">
        <x:v>200</x:v>
      </x:c>
      <x:c r="H29" s="7" t="s">
        <x:v>21</x:v>
      </x:c>
      <x:c r="I29" s="10">
        <x:v>1</x:v>
      </x:c>
      <x:c r="J29" t="str">
        <x:f>IF(A29="","", "SAMP-"&amp;A29&amp;"-L"&amp;TEXT(B29,"00")&amp;"-"&amp;TEXT(C29,"yyyymmdd")&amp;"-"&amp;D29&amp;"-H"&amp;TEXT(E29,"00")&amp;"-"&amp;H29)</x:f>
        <x:v>SAMP-KG01-L21-20251025-ORD-2025-00021-H20-Choke Neck</x:v>
      </x:c>
      <x:c r="K29" t="str">
        <x:f>IF(A29="","",IF(AND(G29&gt;=0,I29&gt;=0,I29&lt;=G29),"OK","CHECK"))</x:f>
        <x:v>OK</x:v>
      </x:c>
      <x:c r="L29" t="str">
        <x:f>IF(A29="","",IF(AND(E29&gt;=0,E29&lt;=23),"OK","CHECK"))</x:f>
        <x:v>OK</x:v>
      </x:c>
      <x:c r="M29" t="str">
        <x:f>IF(A29="","",IF(AND(K29="OK",L29="OK"),"OK","CHECK"))</x:f>
        <x:v>OK</x:v>
      </x:c>
    </x:row>
    <x:row r="30" ht="18" customHeight="1">
      <x:c r="A30" s="7" t="s">
        <x:v>18</x:v>
      </x:c>
      <x:c r="B30" s="7">
        <x:v>21</x:v>
      </x:c>
      <x:c r="C30" s="8">
        <x:v>45955</x:v>
      </x:c>
      <x:c r="D30" s="7" t="s">
        <x:v>31</x:v>
      </x:c>
      <x:c r="E30" s="9">
        <x:v>23</x:v>
      </x:c>
      <x:c r="F30" s="7" t="s">
        <x:v>23</x:v>
      </x:c>
      <x:c r="G30" s="10">
        <x:v>50</x:v>
      </x:c>
      <x:c r="H30" s="7" t="s">
        <x:v>22</x:v>
      </x:c>
      <x:c r="I30" s="10">
        <x:v>0</x:v>
      </x:c>
      <x:c r="J30" t="str">
        <x:f>IF(A30="","", "SAMP-"&amp;A30&amp;"-L"&amp;TEXT(B30,"00")&amp;"-"&amp;TEXT(C30,"yyyymmdd")&amp;"-"&amp;D30&amp;"-H"&amp;TEXT(E30,"00")&amp;"-"&amp;H30)</x:f>
        <x:v>SAMP-KG01-L21-20251025-ORD-2025-00021-H23-Overpress</x:v>
      </x:c>
      <x:c r="K30" t="str">
        <x:f>IF(A30="","",IF(AND(G30&gt;=0,I30&gt;=0,I30&lt;=G30),"OK","CHECK"))</x:f>
        <x:v>OK</x:v>
      </x:c>
      <x:c r="L30" t="str">
        <x:f>IF(A30="","",IF(AND(E30&gt;=0,E30&lt;=23),"OK","CHECK"))</x:f>
        <x:v>OK</x:v>
      </x:c>
      <x:c r="M30" t="str">
        <x:f>IF(A30="","",IF(AND(K30="OK",L30="OK"),"OK","CHECK"))</x:f>
        <x:v>OK</x:v>
      </x:c>
    </x:row>
    <x:row r="31" ht="18" customHeight="1">
      <x:c r="A31" s="7" t="s">
        <x:v>18</x:v>
      </x:c>
      <x:c r="B31" s="7">
        <x:v>21</x:v>
      </x:c>
      <x:c r="C31" s="8">
        <x:v>45956</x:v>
      </x:c>
      <x:c r="D31" s="7" t="s">
        <x:v>31</x:v>
      </x:c>
      <x:c r="E31" s="9">
        <x:v>9</x:v>
      </x:c>
      <x:c r="F31" s="7" t="s">
        <x:v>20</x:v>
      </x:c>
      <x:c r="G31" s="10">
        <x:v>50</x:v>
      </x:c>
      <x:c r="H31" s="7" t="s">
        <x:v>29</x:v>
      </x:c>
      <x:c r="I31" s="10">
        <x:v>2</x:v>
      </x:c>
      <x:c r="J31" t="str">
        <x:f>IF(A31="","", "SAMP-"&amp;A31&amp;"-L"&amp;TEXT(B31,"00")&amp;"-"&amp;TEXT(C31,"yyyymmdd")&amp;"-"&amp;D31&amp;"-H"&amp;TEXT(E31,"00")&amp;"-"&amp;H31)</x:f>
        <x:v>SAMP-KG01-L21-20251026-ORD-2025-00021-H09-Bird Swing</x:v>
      </x:c>
      <x:c r="K31" t="str">
        <x:f>IF(A31="","",IF(AND(G31&gt;=0,I31&gt;=0,I31&lt;=G31),"OK","CHECK"))</x:f>
        <x:v>OK</x:v>
      </x:c>
      <x:c r="L31" t="str">
        <x:f>IF(A31="","",IF(AND(E31&gt;=0,E31&lt;=23),"OK","CHECK"))</x:f>
        <x:v>OK</x:v>
      </x:c>
      <x:c r="M31" t="str">
        <x:f>IF(A31="","",IF(AND(K31="OK",L31="OK"),"OK","CHECK"))</x:f>
        <x:v>OK</x:v>
      </x:c>
    </x:row>
    <x:row r="32" ht="18" customHeight="1">
      <x:c r="A32" s="7" t="s">
        <x:v>18</x:v>
      </x:c>
      <x:c r="B32" s="7">
        <x:v>21</x:v>
      </x:c>
      <x:c r="C32" s="8">
        <x:v>45956</x:v>
      </x:c>
      <x:c r="D32" s="7" t="s">
        <x:v>31</x:v>
      </x:c>
      <x:c r="E32" s="9">
        <x:v>15</x:v>
      </x:c>
      <x:c r="F32" s="7" t="s">
        <x:v>20</x:v>
      </x:c>
      <x:c r="G32" s="10">
        <x:v>50</x:v>
      </x:c>
      <x:c r="H32" s="7" t="s">
        <x:v>26</x:v>
      </x:c>
      <x:c r="I32" s="10">
        <x:v>0</x:v>
      </x:c>
      <x:c r="J32" t="str">
        <x:f>IF(A32="","", "SAMP-"&amp;A32&amp;"-L"&amp;TEXT(B32,"00")&amp;"-"&amp;TEXT(C32,"yyyymmdd")&amp;"-"&amp;D32&amp;"-H"&amp;TEXT(E32,"00")&amp;"-"&amp;H32)</x:f>
        <x:v>SAMP-KG01-L21-20251026-ORD-2025-00021-H15-Thin Wall</x:v>
      </x:c>
      <x:c r="K32" t="str">
        <x:f>IF(A32="","",IF(AND(G32&gt;=0,I32&gt;=0,I32&lt;=G32),"OK","CHECK"))</x:f>
        <x:v>OK</x:v>
      </x:c>
      <x:c r="L32" t="str">
        <x:f>IF(A32="","",IF(AND(E32&gt;=0,E32&lt;=23),"OK","CHECK"))</x:f>
        <x:v>OK</x:v>
      </x:c>
      <x:c r="M32" t="str">
        <x:f>IF(A32="","",IF(AND(K32="OK",L32="OK"),"OK","CHECK"))</x:f>
        <x:v>OK</x:v>
      </x:c>
    </x:row>
    <x:row r="33" ht="18" customHeight="1">
      <x:c r="A33" s="7" t="s">
        <x:v>18</x:v>
      </x:c>
      <x:c r="B33" s="7">
        <x:v>21</x:v>
      </x:c>
      <x:c r="C33" s="8">
        <x:v>45956</x:v>
      </x:c>
      <x:c r="D33" s="7" t="s">
        <x:v>31</x:v>
      </x:c>
      <x:c r="E33" s="9">
        <x:v>20</x:v>
      </x:c>
      <x:c r="F33" s="7" t="s">
        <x:v>23</x:v>
      </x:c>
      <x:c r="G33" s="10">
        <x:v>100</x:v>
      </x:c>
      <x:c r="H33" s="7" t="s">
        <x:v>22</x:v>
      </x:c>
      <x:c r="I33" s="10">
        <x:v>0</x:v>
      </x:c>
      <x:c r="J33" t="str">
        <x:f>IF(A33="","", "SAMP-"&amp;A33&amp;"-L"&amp;TEXT(B33,"00")&amp;"-"&amp;TEXT(C33,"yyyymmdd")&amp;"-"&amp;D33&amp;"-H"&amp;TEXT(E33,"00")&amp;"-"&amp;H33)</x:f>
        <x:v>SAMP-KG01-L21-20251026-ORD-2025-00021-H20-Overpress</x:v>
      </x:c>
      <x:c r="K33" t="str">
        <x:f>IF(A33="","",IF(AND(G33&gt;=0,I33&gt;=0,I33&lt;=G33),"OK","CHECK"))</x:f>
        <x:v>OK</x:v>
      </x:c>
      <x:c r="L33" t="str">
        <x:f>IF(A33="","",IF(AND(E33&gt;=0,E33&lt;=23),"OK","CHECK"))</x:f>
        <x:v>OK</x:v>
      </x:c>
      <x:c r="M33" t="str">
        <x:f>IF(A33="","",IF(AND(K33="OK",L33="OK"),"OK","CHECK"))</x:f>
        <x:v>OK</x:v>
      </x:c>
    </x:row>
    <x:row r="34" ht="18" customHeight="1">
      <x:c r="A34" s="7" t="s">
        <x:v>18</x:v>
      </x:c>
      <x:c r="B34" s="7">
        <x:v>21</x:v>
      </x:c>
      <x:c r="C34" s="8">
        <x:v>45956</x:v>
      </x:c>
      <x:c r="D34" s="7" t="s">
        <x:v>31</x:v>
      </x:c>
      <x:c r="E34" s="9">
        <x:v>23</x:v>
      </x:c>
      <x:c r="F34" s="7" t="s">
        <x:v>23</x:v>
      </x:c>
      <x:c r="G34" s="10">
        <x:v>50</x:v>
      </x:c>
      <x:c r="H34" s="7" t="s">
        <x:v>28</x:v>
      </x:c>
      <x:c r="I34" s="10">
        <x:v>0</x:v>
      </x:c>
      <x:c r="J34" t="str">
        <x:f>IF(A34="","", "SAMP-"&amp;A34&amp;"-L"&amp;TEXT(B34,"00")&amp;"-"&amp;TEXT(C34,"yyyymmdd")&amp;"-"&amp;D34&amp;"-H"&amp;TEXT(E34,"00")&amp;"-"&amp;H34)</x:f>
        <x:v>SAMP-KG01-L21-20251026-ORD-2025-00021-H23-Blister</x:v>
      </x:c>
      <x:c r="K34" t="str">
        <x:f>IF(A34="","",IF(AND(G34&gt;=0,I34&gt;=0,I34&lt;=G34),"OK","CHECK"))</x:f>
        <x:v>OK</x:v>
      </x:c>
      <x:c r="L34" t="str">
        <x:f>IF(A34="","",IF(AND(E34&gt;=0,E34&lt;=23),"OK","CHECK"))</x:f>
        <x:v>OK</x:v>
      </x:c>
      <x:c r="M34" t="str">
        <x:f>IF(A34="","",IF(AND(K34="OK",L34="OK"),"OK","CHECK"))</x:f>
        <x:v>OK</x:v>
      </x:c>
    </x:row>
    <x:row r="35" ht="18" customHeight="1">
      <x:c r="A35" s="7" t="s">
        <x:v>18</x:v>
      </x:c>
      <x:c r="B35" s="7">
        <x:v>22</x:v>
      </x:c>
      <x:c r="C35" s="8">
        <x:v>45950</x:v>
      </x:c>
      <x:c r="D35" s="7" t="s">
        <x:v>32</x:v>
      </x:c>
      <x:c r="E35" s="9">
        <x:v>7</x:v>
      </x:c>
      <x:c r="F35" s="7" t="s">
        <x:v>20</x:v>
      </x:c>
      <x:c r="G35" s="10">
        <x:v>150</x:v>
      </x:c>
      <x:c r="H35" s="7" t="s">
        <x:v>25</x:v>
      </x:c>
      <x:c r="I35" s="10">
        <x:v>10</x:v>
      </x:c>
      <x:c r="J35" t="str">
        <x:f>IF(A35="","", "SAMP-"&amp;A35&amp;"-L"&amp;TEXT(B35,"00")&amp;"-"&amp;TEXT(C35,"yyyymmdd")&amp;"-"&amp;D35&amp;"-H"&amp;TEXT(E35,"00")&amp;"-"&amp;H35)</x:f>
        <x:v>SAMP-KG01-L22-20251020-ORD-2025-00056-H07-Distortion</x:v>
      </x:c>
      <x:c r="K35" t="str">
        <x:f>IF(A35="","",IF(AND(G35&gt;=0,I35&gt;=0,I35&lt;=G35),"OK","CHECK"))</x:f>
        <x:v>OK</x:v>
      </x:c>
      <x:c r="L35" t="str">
        <x:f>IF(A35="","",IF(AND(E35&gt;=0,E35&lt;=23),"OK","CHECK"))</x:f>
        <x:v>OK</x:v>
      </x:c>
      <x:c r="M35" t="str">
        <x:f>IF(A35="","",IF(AND(K35="OK",L35="OK"),"OK","CHECK"))</x:f>
        <x:v>OK</x:v>
      </x:c>
    </x:row>
    <x:row r="36" ht="18" customHeight="1">
      <x:c r="A36" s="7" t="s">
        <x:v>18</x:v>
      </x:c>
      <x:c r="B36" s="7">
        <x:v>22</x:v>
      </x:c>
      <x:c r="C36" s="8">
        <x:v>45950</x:v>
      </x:c>
      <x:c r="D36" s="7" t="s">
        <x:v>32</x:v>
      </x:c>
      <x:c r="E36" s="9">
        <x:v>12</x:v>
      </x:c>
      <x:c r="F36" s="7" t="s">
        <x:v>20</x:v>
      </x:c>
      <x:c r="G36" s="10">
        <x:v>100</x:v>
      </x:c>
      <x:c r="H36" s="7" t="s">
        <x:v>27</x:v>
      </x:c>
      <x:c r="I36" s="10">
        <x:v>5</x:v>
      </x:c>
      <x:c r="J36" t="str">
        <x:f>IF(A36="","", "SAMP-"&amp;A36&amp;"-L"&amp;TEXT(B36,"00")&amp;"-"&amp;TEXT(C36,"yyyymmdd")&amp;"-"&amp;D36&amp;"-H"&amp;TEXT(E36,"00")&amp;"-"&amp;H36)</x:f>
        <x:v>SAMP-KG01-L22-20251020-ORD-2025-00056-H12-Stone</x:v>
      </x:c>
      <x:c r="K36" t="str">
        <x:f>IF(A36="","",IF(AND(G36&gt;=0,I36&gt;=0,I36&lt;=G36),"OK","CHECK"))</x:f>
        <x:v>OK</x:v>
      </x:c>
      <x:c r="L36" t="str">
        <x:f>IF(A36="","",IF(AND(E36&gt;=0,E36&lt;=23),"OK","CHECK"))</x:f>
        <x:v>OK</x:v>
      </x:c>
      <x:c r="M36" t="str">
        <x:f>IF(A36="","",IF(AND(K36="OK",L36="OK"),"OK","CHECK"))</x:f>
        <x:v>OK</x:v>
      </x:c>
    </x:row>
    <x:row r="37" ht="18" customHeight="1">
      <x:c r="A37" s="7" t="s">
        <x:v>18</x:v>
      </x:c>
      <x:c r="B37" s="7">
        <x:v>22</x:v>
      </x:c>
      <x:c r="C37" s="8">
        <x:v>45950</x:v>
      </x:c>
      <x:c r="D37" s="7" t="s">
        <x:v>32</x:v>
      </x:c>
      <x:c r="E37" s="9">
        <x:v>16</x:v>
      </x:c>
      <x:c r="F37" s="7" t="s">
        <x:v>20</x:v>
      </x:c>
      <x:c r="G37" s="10">
        <x:v>200</x:v>
      </x:c>
      <x:c r="H37" s="7" t="s">
        <x:v>29</x:v>
      </x:c>
      <x:c r="I37" s="10">
        <x:v>6</x:v>
      </x:c>
      <x:c r="J37" t="str">
        <x:f>IF(A37="","", "SAMP-"&amp;A37&amp;"-L"&amp;TEXT(B37,"00")&amp;"-"&amp;TEXT(C37,"yyyymmdd")&amp;"-"&amp;D37&amp;"-H"&amp;TEXT(E37,"00")&amp;"-"&amp;H37)</x:f>
        <x:v>SAMP-KG01-L22-20251020-ORD-2025-00056-H16-Bird Swing</x:v>
      </x:c>
      <x:c r="K37" t="str">
        <x:f>IF(A37="","",IF(AND(G37&gt;=0,I37&gt;=0,I37&lt;=G37),"OK","CHECK"))</x:f>
        <x:v>OK</x:v>
      </x:c>
      <x:c r="L37" t="str">
        <x:f>IF(A37="","",IF(AND(E37&gt;=0,E37&lt;=23),"OK","CHECK"))</x:f>
        <x:v>OK</x:v>
      </x:c>
      <x:c r="M37" t="str">
        <x:f>IF(A37="","",IF(AND(K37="OK",L37="OK"),"OK","CHECK"))</x:f>
        <x:v>OK</x:v>
      </x:c>
    </x:row>
    <x:row r="38" ht="18" customHeight="1">
      <x:c r="A38" s="7" t="s">
        <x:v>18</x:v>
      </x:c>
      <x:c r="B38" s="7">
        <x:v>22</x:v>
      </x:c>
      <x:c r="C38" s="8">
        <x:v>45950</x:v>
      </x:c>
      <x:c r="D38" s="7" t="s">
        <x:v>32</x:v>
      </x:c>
      <x:c r="E38" s="9">
        <x:v>20</x:v>
      </x:c>
      <x:c r="F38" s="7" t="s">
        <x:v>23</x:v>
      </x:c>
      <x:c r="G38" s="10">
        <x:v>100</x:v>
      </x:c>
      <x:c r="H38" s="7" t="s">
        <x:v>21</x:v>
      </x:c>
      <x:c r="I38" s="10">
        <x:v>0</x:v>
      </x:c>
      <x:c r="J38" t="str">
        <x:f>IF(A38="","", "SAMP-"&amp;A38&amp;"-L"&amp;TEXT(B38,"00")&amp;"-"&amp;TEXT(C38,"yyyymmdd")&amp;"-"&amp;D38&amp;"-H"&amp;TEXT(E38,"00")&amp;"-"&amp;H38)</x:f>
        <x:v>SAMP-KG01-L22-20251020-ORD-2025-00056-H20-Choke Neck</x:v>
      </x:c>
      <x:c r="K38" t="str">
        <x:f>IF(A38="","",IF(AND(G38&gt;=0,I38&gt;=0,I38&lt;=G38),"OK","CHECK"))</x:f>
        <x:v>OK</x:v>
      </x:c>
      <x:c r="L38" t="str">
        <x:f>IF(A38="","",IF(AND(E38&gt;=0,E38&lt;=23),"OK","CHECK"))</x:f>
        <x:v>OK</x:v>
      </x:c>
      <x:c r="M38" t="str">
        <x:f>IF(A38="","",IF(AND(K38="OK",L38="OK"),"OK","CHECK"))</x:f>
        <x:v>OK</x:v>
      </x:c>
    </x:row>
    <x:row r="39" ht="18" customHeight="1">
      <x:c r="A39" s="7" t="s">
        <x:v>18</x:v>
      </x:c>
      <x:c r="B39" s="7">
        <x:v>22</x:v>
      </x:c>
      <x:c r="C39" s="8">
        <x:v>45950</x:v>
      </x:c>
      <x:c r="D39" s="7" t="s">
        <x:v>32</x:v>
      </x:c>
      <x:c r="E39" s="9">
        <x:v>23</x:v>
      </x:c>
      <x:c r="F39" s="7" t="s">
        <x:v>23</x:v>
      </x:c>
      <x:c r="G39" s="10">
        <x:v>150</x:v>
      </x:c>
      <x:c r="H39" s="7" t="s">
        <x:v>28</x:v>
      </x:c>
      <x:c r="I39" s="10">
        <x:v>3</x:v>
      </x:c>
      <x:c r="J39" t="str">
        <x:f>IF(A39="","", "SAMP-"&amp;A39&amp;"-L"&amp;TEXT(B39,"00")&amp;"-"&amp;TEXT(C39,"yyyymmdd")&amp;"-"&amp;D39&amp;"-H"&amp;TEXT(E39,"00")&amp;"-"&amp;H39)</x:f>
        <x:v>SAMP-KG01-L22-20251020-ORD-2025-00056-H23-Blister</x:v>
      </x:c>
      <x:c r="K39" t="str">
        <x:f>IF(A39="","",IF(AND(G39&gt;=0,I39&gt;=0,I39&lt;=G39),"OK","CHECK"))</x:f>
        <x:v>OK</x:v>
      </x:c>
      <x:c r="L39" t="str">
        <x:f>IF(A39="","",IF(AND(E39&gt;=0,E39&lt;=23),"OK","CHECK"))</x:f>
        <x:v>OK</x:v>
      </x:c>
      <x:c r="M39" t="str">
        <x:f>IF(A39="","",IF(AND(K39="OK",L39="OK"),"OK","CHECK"))</x:f>
        <x:v>OK</x:v>
      </x:c>
    </x:row>
    <x:row r="40" ht="18" customHeight="1">
      <x:c r="A40" s="7" t="s">
        <x:v>18</x:v>
      </x:c>
      <x:c r="B40" s="7">
        <x:v>22</x:v>
      </x:c>
      <x:c r="C40" s="8">
        <x:v>45951</x:v>
      </x:c>
      <x:c r="D40" s="7" t="s">
        <x:v>32</x:v>
      </x:c>
      <x:c r="E40" s="9">
        <x:v>9</x:v>
      </x:c>
      <x:c r="F40" s="7" t="s">
        <x:v>20</x:v>
      </x:c>
      <x:c r="G40" s="10">
        <x:v>150</x:v>
      </x:c>
      <x:c r="H40" s="7" t="s">
        <x:v>33</x:v>
      </x:c>
      <x:c r="I40" s="10">
        <x:v>3</x:v>
      </x:c>
      <x:c r="J40" t="str">
        <x:f>IF(A40="","", "SAMP-"&amp;A40&amp;"-L"&amp;TEXT(B40,"00")&amp;"-"&amp;TEXT(C40,"yyyymmdd")&amp;"-"&amp;D40&amp;"-H"&amp;TEXT(E40,"00")&amp;"-"&amp;H40)</x:f>
        <x:v>SAMP-KG01-L22-20251021-ORD-2025-00056-H09-Chip</x:v>
      </x:c>
      <x:c r="K40" t="str">
        <x:f>IF(A40="","",IF(AND(G40&gt;=0,I40&gt;=0,I40&lt;=G40),"OK","CHECK"))</x:f>
        <x:v>OK</x:v>
      </x:c>
      <x:c r="L40" t="str">
        <x:f>IF(A40="","",IF(AND(E40&gt;=0,E40&lt;=23),"OK","CHECK"))</x:f>
        <x:v>OK</x:v>
      </x:c>
      <x:c r="M40" t="str">
        <x:f>IF(A40="","",IF(AND(K40="OK",L40="OK"),"OK","CHECK"))</x:f>
        <x:v>OK</x:v>
      </x:c>
    </x:row>
    <x:row r="41" ht="18" customHeight="1">
      <x:c r="A41" s="7" t="s">
        <x:v>18</x:v>
      </x:c>
      <x:c r="B41" s="7">
        <x:v>22</x:v>
      </x:c>
      <x:c r="C41" s="8">
        <x:v>45951</x:v>
      </x:c>
      <x:c r="D41" s="7" t="s">
        <x:v>32</x:v>
      </x:c>
      <x:c r="E41" s="9">
        <x:v>15</x:v>
      </x:c>
      <x:c r="F41" s="7" t="s">
        <x:v>20</x:v>
      </x:c>
      <x:c r="G41" s="10">
        <x:v>150</x:v>
      </x:c>
      <x:c r="H41" s="7" t="s">
        <x:v>27</x:v>
      </x:c>
      <x:c r="I41" s="10">
        <x:v>4</x:v>
      </x:c>
      <x:c r="J41" t="str">
        <x:f>IF(A41="","", "SAMP-"&amp;A41&amp;"-L"&amp;TEXT(B41,"00")&amp;"-"&amp;TEXT(C41,"yyyymmdd")&amp;"-"&amp;D41&amp;"-H"&amp;TEXT(E41,"00")&amp;"-"&amp;H41)</x:f>
        <x:v>SAMP-KG01-L22-20251021-ORD-2025-00056-H15-Stone</x:v>
      </x:c>
      <x:c r="K41" t="str">
        <x:f>IF(A41="","",IF(AND(G41&gt;=0,I41&gt;=0,I41&lt;=G41),"OK","CHECK"))</x:f>
        <x:v>OK</x:v>
      </x:c>
      <x:c r="L41" t="str">
        <x:f>IF(A41="","",IF(AND(E41&gt;=0,E41&lt;=23),"OK","CHECK"))</x:f>
        <x:v>OK</x:v>
      </x:c>
      <x:c r="M41" t="str">
        <x:f>IF(A41="","",IF(AND(K41="OK",L41="OK"),"OK","CHECK"))</x:f>
        <x:v>OK</x:v>
      </x:c>
    </x:row>
    <x:row r="42" ht="18" customHeight="1">
      <x:c r="A42" s="7" t="s">
        <x:v>18</x:v>
      </x:c>
      <x:c r="B42" s="7">
        <x:v>22</x:v>
      </x:c>
      <x:c r="C42" s="8">
        <x:v>45951</x:v>
      </x:c>
      <x:c r="D42" s="7" t="s">
        <x:v>32</x:v>
      </x:c>
      <x:c r="E42" s="9">
        <x:v>20</x:v>
      </x:c>
      <x:c r="F42" s="7" t="s">
        <x:v>23</x:v>
      </x:c>
      <x:c r="G42" s="10">
        <x:v>50</x:v>
      </x:c>
      <x:c r="H42" s="7" t="s">
        <x:v>25</x:v>
      </x:c>
      <x:c r="I42" s="10">
        <x:v>2</x:v>
      </x:c>
      <x:c r="J42" t="str">
        <x:f>IF(A42="","", "SAMP-"&amp;A42&amp;"-L"&amp;TEXT(B42,"00")&amp;"-"&amp;TEXT(C42,"yyyymmdd")&amp;"-"&amp;D42&amp;"-H"&amp;TEXT(E42,"00")&amp;"-"&amp;H42)</x:f>
        <x:v>SAMP-KG01-L22-20251021-ORD-2025-00056-H20-Distortion</x:v>
      </x:c>
      <x:c r="K42" t="str">
        <x:f>IF(A42="","",IF(AND(G42&gt;=0,I42&gt;=0,I42&lt;=G42),"OK","CHECK"))</x:f>
        <x:v>OK</x:v>
      </x:c>
      <x:c r="L42" t="str">
        <x:f>IF(A42="","",IF(AND(E42&gt;=0,E42&lt;=23),"OK","CHECK"))</x:f>
        <x:v>OK</x:v>
      </x:c>
      <x:c r="M42" t="str">
        <x:f>IF(A42="","",IF(AND(K42="OK",L42="OK"),"OK","CHECK"))</x:f>
        <x:v>OK</x:v>
      </x:c>
    </x:row>
    <x:row r="43" ht="18" customHeight="1">
      <x:c r="A43" s="7" t="s">
        <x:v>18</x:v>
      </x:c>
      <x:c r="B43" s="7">
        <x:v>22</x:v>
      </x:c>
      <x:c r="C43" s="8">
        <x:v>45951</x:v>
      </x:c>
      <x:c r="D43" s="7" t="s">
        <x:v>32</x:v>
      </x:c>
      <x:c r="E43" s="9">
        <x:v>23</x:v>
      </x:c>
      <x:c r="F43" s="7" t="s">
        <x:v>23</x:v>
      </x:c>
      <x:c r="G43" s="10">
        <x:v>50</x:v>
      </x:c>
      <x:c r="H43" s="7" t="s">
        <x:v>33</x:v>
      </x:c>
      <x:c r="I43" s="10">
        <x:v>3</x:v>
      </x:c>
      <x:c r="J43" t="str">
        <x:f>IF(A43="","", "SAMP-"&amp;A43&amp;"-L"&amp;TEXT(B43,"00")&amp;"-"&amp;TEXT(C43,"yyyymmdd")&amp;"-"&amp;D43&amp;"-H"&amp;TEXT(E43,"00")&amp;"-"&amp;H43)</x:f>
        <x:v>SAMP-KG01-L22-20251021-ORD-2025-00056-H23-Chip</x:v>
      </x:c>
      <x:c r="K43" t="str">
        <x:f>IF(A43="","",IF(AND(G43&gt;=0,I43&gt;=0,I43&lt;=G43),"OK","CHECK"))</x:f>
        <x:v>OK</x:v>
      </x:c>
      <x:c r="L43" t="str">
        <x:f>IF(A43="","",IF(AND(E43&gt;=0,E43&lt;=23),"OK","CHECK"))</x:f>
        <x:v>OK</x:v>
      </x:c>
      <x:c r="M43" t="str">
        <x:f>IF(A43="","",IF(AND(K43="OK",L43="OK"),"OK","CHECK"))</x:f>
        <x:v>OK</x:v>
      </x:c>
    </x:row>
    <x:row r="44" ht="18" customHeight="1">
      <x:c r="A44" s="7" t="s">
        <x:v>18</x:v>
      </x:c>
      <x:c r="B44" s="7">
        <x:v>22</x:v>
      </x:c>
      <x:c r="C44" s="8">
        <x:v>45952</x:v>
      </x:c>
      <x:c r="D44" s="7" t="s">
        <x:v>34</x:v>
      </x:c>
      <x:c r="E44" s="9">
        <x:v>9</x:v>
      </x:c>
      <x:c r="F44" s="7" t="s">
        <x:v>20</x:v>
      </x:c>
      <x:c r="G44" s="10">
        <x:v>200</x:v>
      </x:c>
      <x:c r="H44" s="7" t="s">
        <x:v>28</x:v>
      </x:c>
      <x:c r="I44" s="10">
        <x:v>4</x:v>
      </x:c>
      <x:c r="J44" t="str">
        <x:f>IF(A44="","", "SAMP-"&amp;A44&amp;"-L"&amp;TEXT(B44,"00")&amp;"-"&amp;TEXT(C44,"yyyymmdd")&amp;"-"&amp;D44&amp;"-H"&amp;TEXT(E44,"00")&amp;"-"&amp;H44)</x:f>
        <x:v>SAMP-KG01-L22-20251022-ORD-2025-00057-H09-Blister</x:v>
      </x:c>
      <x:c r="K44" t="str">
        <x:f>IF(A44="","",IF(AND(G44&gt;=0,I44&gt;=0,I44&lt;=G44),"OK","CHECK"))</x:f>
        <x:v>OK</x:v>
      </x:c>
      <x:c r="L44" t="str">
        <x:f>IF(A44="","",IF(AND(E44&gt;=0,E44&lt;=23),"OK","CHECK"))</x:f>
        <x:v>OK</x:v>
      </x:c>
      <x:c r="M44" t="str">
        <x:f>IF(A44="","",IF(AND(K44="OK",L44="OK"),"OK","CHECK"))</x:f>
        <x:v>OK</x:v>
      </x:c>
    </x:row>
    <x:row r="45" ht="18" customHeight="1">
      <x:c r="A45" s="7" t="s">
        <x:v>18</x:v>
      </x:c>
      <x:c r="B45" s="7">
        <x:v>22</x:v>
      </x:c>
      <x:c r="C45" s="8">
        <x:v>45952</x:v>
      </x:c>
      <x:c r="D45" s="7" t="s">
        <x:v>34</x:v>
      </x:c>
      <x:c r="E45" s="9">
        <x:v>15</x:v>
      </x:c>
      <x:c r="F45" s="7" t="s">
        <x:v>20</x:v>
      </x:c>
      <x:c r="G45" s="10">
        <x:v>150</x:v>
      </x:c>
      <x:c r="H45" s="7" t="s">
        <x:v>30</x:v>
      </x:c>
      <x:c r="I45" s="10">
        <x:v>3</x:v>
      </x:c>
      <x:c r="J45" t="str">
        <x:f>IF(A45="","", "SAMP-"&amp;A45&amp;"-L"&amp;TEXT(B45,"00")&amp;"-"&amp;TEXT(C45,"yyyymmdd")&amp;"-"&amp;D45&amp;"-H"&amp;TEXT(E45,"00")&amp;"-"&amp;H45)</x:f>
        <x:v>SAMP-KG01-L22-20251022-ORD-2025-00057-H15-Crack</x:v>
      </x:c>
      <x:c r="K45" t="str">
        <x:f>IF(A45="","",IF(AND(G45&gt;=0,I45&gt;=0,I45&lt;=G45),"OK","CHECK"))</x:f>
        <x:v>OK</x:v>
      </x:c>
      <x:c r="L45" t="str">
        <x:f>IF(A45="","",IF(AND(E45&gt;=0,E45&lt;=23),"OK","CHECK"))</x:f>
        <x:v>OK</x:v>
      </x:c>
      <x:c r="M45" t="str">
        <x:f>IF(A45="","",IF(AND(K45="OK",L45="OK"),"OK","CHECK"))</x:f>
        <x:v>OK</x:v>
      </x:c>
    </x:row>
    <x:row r="46" ht="18" customHeight="1">
      <x:c r="A46" s="7" t="s">
        <x:v>18</x:v>
      </x:c>
      <x:c r="B46" s="7">
        <x:v>22</x:v>
      </x:c>
      <x:c r="C46" s="8">
        <x:v>45952</x:v>
      </x:c>
      <x:c r="D46" s="7" t="s">
        <x:v>34</x:v>
      </x:c>
      <x:c r="E46" s="9">
        <x:v>20</x:v>
      </x:c>
      <x:c r="F46" s="7" t="s">
        <x:v>23</x:v>
      </x:c>
      <x:c r="G46" s="10">
        <x:v>150</x:v>
      </x:c>
      <x:c r="H46" s="7" t="s">
        <x:v>30</x:v>
      </x:c>
      <x:c r="I46" s="10">
        <x:v>4</x:v>
      </x:c>
      <x:c r="J46" t="str">
        <x:f>IF(A46="","", "SAMP-"&amp;A46&amp;"-L"&amp;TEXT(B46,"00")&amp;"-"&amp;TEXT(C46,"yyyymmdd")&amp;"-"&amp;D46&amp;"-H"&amp;TEXT(E46,"00")&amp;"-"&amp;H46)</x:f>
        <x:v>SAMP-KG01-L22-20251022-ORD-2025-00057-H20-Crack</x:v>
      </x:c>
      <x:c r="K46" t="str">
        <x:f>IF(A46="","",IF(AND(G46&gt;=0,I46&gt;=0,I46&lt;=G46),"OK","CHECK"))</x:f>
        <x:v>OK</x:v>
      </x:c>
      <x:c r="L46" t="str">
        <x:f>IF(A46="","",IF(AND(E46&gt;=0,E46&lt;=23),"OK","CHECK"))</x:f>
        <x:v>OK</x:v>
      </x:c>
      <x:c r="M46" t="str">
        <x:f>IF(A46="","",IF(AND(K46="OK",L46="OK"),"OK","CHECK"))</x:f>
        <x:v>OK</x:v>
      </x:c>
    </x:row>
    <x:row r="47" ht="18" customHeight="1">
      <x:c r="A47" s="7" t="s">
        <x:v>18</x:v>
      </x:c>
      <x:c r="B47" s="7">
        <x:v>22</x:v>
      </x:c>
      <x:c r="C47" s="8">
        <x:v>45952</x:v>
      </x:c>
      <x:c r="D47" s="7" t="s">
        <x:v>34</x:v>
      </x:c>
      <x:c r="E47" s="9">
        <x:v>23</x:v>
      </x:c>
      <x:c r="F47" s="7" t="s">
        <x:v>23</x:v>
      </x:c>
      <x:c r="G47" s="10">
        <x:v>200</x:v>
      </x:c>
      <x:c r="H47" s="7" t="s">
        <x:v>30</x:v>
      </x:c>
      <x:c r="I47" s="10">
        <x:v>3</x:v>
      </x:c>
      <x:c r="J47" t="str">
        <x:f>IF(A47="","", "SAMP-"&amp;A47&amp;"-L"&amp;TEXT(B47,"00")&amp;"-"&amp;TEXT(C47,"yyyymmdd")&amp;"-"&amp;D47&amp;"-H"&amp;TEXT(E47,"00")&amp;"-"&amp;H47)</x:f>
        <x:v>SAMP-KG01-L22-20251022-ORD-2025-00057-H23-Crack</x:v>
      </x:c>
      <x:c r="K47" t="str">
        <x:f>IF(A47="","",IF(AND(G47&gt;=0,I47&gt;=0,I47&lt;=G47),"OK","CHECK"))</x:f>
        <x:v>OK</x:v>
      </x:c>
      <x:c r="L47" t="str">
        <x:f>IF(A47="","",IF(AND(E47&gt;=0,E47&lt;=23),"OK","CHECK"))</x:f>
        <x:v>OK</x:v>
      </x:c>
      <x:c r="M47" t="str">
        <x:f>IF(A47="","",IF(AND(K47="OK",L47="OK"),"OK","CHECK"))</x:f>
        <x:v>OK</x:v>
      </x:c>
    </x:row>
    <x:row r="48" ht="18" customHeight="1">
      <x:c r="A48" s="7" t="s">
        <x:v>18</x:v>
      </x:c>
      <x:c r="B48" s="7">
        <x:v>22</x:v>
      </x:c>
      <x:c r="C48" s="8">
        <x:v>45953</x:v>
      </x:c>
      <x:c r="D48" s="7" t="s">
        <x:v>34</x:v>
      </x:c>
      <x:c r="E48" s="9">
        <x:v>9</x:v>
      </x:c>
      <x:c r="F48" s="7" t="s">
        <x:v>20</x:v>
      </x:c>
      <x:c r="G48" s="10">
        <x:v>50</x:v>
      </x:c>
      <x:c r="H48" s="7" t="s">
        <x:v>25</x:v>
      </x:c>
      <x:c r="I48" s="10">
        <x:v>2</x:v>
      </x:c>
      <x:c r="J48" t="str">
        <x:f>IF(A48="","", "SAMP-"&amp;A48&amp;"-L"&amp;TEXT(B48,"00")&amp;"-"&amp;TEXT(C48,"yyyymmdd")&amp;"-"&amp;D48&amp;"-H"&amp;TEXT(E48,"00")&amp;"-"&amp;H48)</x:f>
        <x:v>SAMP-KG01-L22-20251023-ORD-2025-00057-H09-Distortion</x:v>
      </x:c>
      <x:c r="K48" t="str">
        <x:f>IF(A48="","",IF(AND(G48&gt;=0,I48&gt;=0,I48&lt;=G48),"OK","CHECK"))</x:f>
        <x:v>OK</x:v>
      </x:c>
      <x:c r="L48" t="str">
        <x:f>IF(A48="","",IF(AND(E48&gt;=0,E48&lt;=23),"OK","CHECK"))</x:f>
        <x:v>OK</x:v>
      </x:c>
      <x:c r="M48" t="str">
        <x:f>IF(A48="","",IF(AND(K48="OK",L48="OK"),"OK","CHECK"))</x:f>
        <x:v>OK</x:v>
      </x:c>
    </x:row>
    <x:row r="49" ht="18" customHeight="1">
      <x:c r="A49" s="7" t="s">
        <x:v>18</x:v>
      </x:c>
      <x:c r="B49" s="7">
        <x:v>22</x:v>
      </x:c>
      <x:c r="C49" s="8">
        <x:v>45953</x:v>
      </x:c>
      <x:c r="D49" s="7" t="s">
        <x:v>34</x:v>
      </x:c>
      <x:c r="E49" s="9">
        <x:v>15</x:v>
      </x:c>
      <x:c r="F49" s="7" t="s">
        <x:v>20</x:v>
      </x:c>
      <x:c r="G49" s="10">
        <x:v>200</x:v>
      </x:c>
      <x:c r="H49" s="7" t="s">
        <x:v>33</x:v>
      </x:c>
      <x:c r="I49" s="10">
        <x:v>4</x:v>
      </x:c>
      <x:c r="J49" t="str">
        <x:f>IF(A49="","", "SAMP-"&amp;A49&amp;"-L"&amp;TEXT(B49,"00")&amp;"-"&amp;TEXT(C49,"yyyymmdd")&amp;"-"&amp;D49&amp;"-H"&amp;TEXT(E49,"00")&amp;"-"&amp;H49)</x:f>
        <x:v>SAMP-KG01-L22-20251023-ORD-2025-00057-H15-Chip</x:v>
      </x:c>
      <x:c r="K49" t="str">
        <x:f>IF(A49="","",IF(AND(G49&gt;=0,I49&gt;=0,I49&lt;=G49),"OK","CHECK"))</x:f>
        <x:v>OK</x:v>
      </x:c>
      <x:c r="L49" t="str">
        <x:f>IF(A49="","",IF(AND(E49&gt;=0,E49&lt;=23),"OK","CHECK"))</x:f>
        <x:v>OK</x:v>
      </x:c>
      <x:c r="M49" t="str">
        <x:f>IF(A49="","",IF(AND(K49="OK",L49="OK"),"OK","CHECK"))</x:f>
        <x:v>OK</x:v>
      </x:c>
    </x:row>
    <x:row r="50" ht="18" customHeight="1">
      <x:c r="A50" s="7" t="s">
        <x:v>18</x:v>
      </x:c>
      <x:c r="B50" s="7">
        <x:v>22</x:v>
      </x:c>
      <x:c r="C50" s="8">
        <x:v>45953</x:v>
      </x:c>
      <x:c r="D50" s="7" t="s">
        <x:v>34</x:v>
      </x:c>
      <x:c r="E50" s="9">
        <x:v>20</x:v>
      </x:c>
      <x:c r="F50" s="7" t="s">
        <x:v>23</x:v>
      </x:c>
      <x:c r="G50" s="10">
        <x:v>100</x:v>
      </x:c>
      <x:c r="H50" s="7" t="s">
        <x:v>21</x:v>
      </x:c>
      <x:c r="I50" s="10">
        <x:v>1</x:v>
      </x:c>
      <x:c r="J50" t="str">
        <x:f>IF(A50="","", "SAMP-"&amp;A50&amp;"-L"&amp;TEXT(B50,"00")&amp;"-"&amp;TEXT(C50,"yyyymmdd")&amp;"-"&amp;D50&amp;"-H"&amp;TEXT(E50,"00")&amp;"-"&amp;H50)</x:f>
        <x:v>SAMP-KG01-L22-20251023-ORD-2025-00057-H20-Choke Neck</x:v>
      </x:c>
      <x:c r="K50" t="str">
        <x:f>IF(A50="","",IF(AND(G50&gt;=0,I50&gt;=0,I50&lt;=G50),"OK","CHECK"))</x:f>
        <x:v>OK</x:v>
      </x:c>
      <x:c r="L50" t="str">
        <x:f>IF(A50="","",IF(AND(E50&gt;=0,E50&lt;=23),"OK","CHECK"))</x:f>
        <x:v>OK</x:v>
      </x:c>
      <x:c r="M50" t="str">
        <x:f>IF(A50="","",IF(AND(K50="OK",L50="OK"),"OK","CHECK"))</x:f>
        <x:v>OK</x:v>
      </x:c>
    </x:row>
    <x:row r="51" ht="18" customHeight="1">
      <x:c r="A51" s="7" t="s">
        <x:v>18</x:v>
      </x:c>
      <x:c r="B51" s="7">
        <x:v>22</x:v>
      </x:c>
      <x:c r="C51" s="8">
        <x:v>45953</x:v>
      </x:c>
      <x:c r="D51" s="7" t="s">
        <x:v>34</x:v>
      </x:c>
      <x:c r="E51" s="9">
        <x:v>23</x:v>
      </x:c>
      <x:c r="F51" s="7" t="s">
        <x:v>23</x:v>
      </x:c>
      <x:c r="G51" s="10">
        <x:v>200</x:v>
      </x:c>
      <x:c r="H51" s="7" t="s">
        <x:v>28</x:v>
      </x:c>
      <x:c r="I51" s="10">
        <x:v>8</x:v>
      </x:c>
      <x:c r="J51" t="str">
        <x:f>IF(A51="","", "SAMP-"&amp;A51&amp;"-L"&amp;TEXT(B51,"00")&amp;"-"&amp;TEXT(C51,"yyyymmdd")&amp;"-"&amp;D51&amp;"-H"&amp;TEXT(E51,"00")&amp;"-"&amp;H51)</x:f>
        <x:v>SAMP-KG01-L22-20251023-ORD-2025-00057-H23-Blister</x:v>
      </x:c>
      <x:c r="K51" t="str">
        <x:f>IF(A51="","",IF(AND(G51&gt;=0,I51&gt;=0,I51&lt;=G51),"OK","CHECK"))</x:f>
        <x:v>OK</x:v>
      </x:c>
      <x:c r="L51" t="str">
        <x:f>IF(A51="","",IF(AND(E51&gt;=0,E51&lt;=23),"OK","CHECK"))</x:f>
        <x:v>OK</x:v>
      </x:c>
      <x:c r="M51" t="str">
        <x:f>IF(A51="","",IF(AND(K51="OK",L51="OK"),"OK","CHECK"))</x:f>
        <x:v>OK</x:v>
      </x:c>
    </x:row>
    <x:row r="52" ht="18" customHeight="1">
      <x:c r="A52" s="7" t="s">
        <x:v>18</x:v>
      </x:c>
      <x:c r="B52" s="7">
        <x:v>22</x:v>
      </x:c>
      <x:c r="C52" s="8">
        <x:v>45954</x:v>
      </x:c>
      <x:c r="D52" s="7" t="s">
        <x:v>34</x:v>
      </x:c>
      <x:c r="E52" s="9">
        <x:v>9</x:v>
      </x:c>
      <x:c r="F52" s="7" t="s">
        <x:v>20</x:v>
      </x:c>
      <x:c r="G52" s="10">
        <x:v>200</x:v>
      </x:c>
      <x:c r="H52" s="7" t="s">
        <x:v>33</x:v>
      </x:c>
      <x:c r="I52" s="10">
        <x:v>3</x:v>
      </x:c>
      <x:c r="J52" t="str">
        <x:f>IF(A52="","", "SAMP-"&amp;A52&amp;"-L"&amp;TEXT(B52,"00")&amp;"-"&amp;TEXT(C52,"yyyymmdd")&amp;"-"&amp;D52&amp;"-H"&amp;TEXT(E52,"00")&amp;"-"&amp;H52)</x:f>
        <x:v>SAMP-KG01-L22-20251024-ORD-2025-00057-H09-Chip</x:v>
      </x:c>
      <x:c r="K52" t="str">
        <x:f>IF(A52="","",IF(AND(G52&gt;=0,I52&gt;=0,I52&lt;=G52),"OK","CHECK"))</x:f>
        <x:v>OK</x:v>
      </x:c>
      <x:c r="L52" t="str">
        <x:f>IF(A52="","",IF(AND(E52&gt;=0,E52&lt;=23),"OK","CHECK"))</x:f>
        <x:v>OK</x:v>
      </x:c>
      <x:c r="M52" t="str">
        <x:f>IF(A52="","",IF(AND(K52="OK",L52="OK"),"OK","CHECK"))</x:f>
        <x:v>OK</x:v>
      </x:c>
    </x:row>
    <x:row r="53" ht="18" customHeight="1">
      <x:c r="A53" s="7" t="s">
        <x:v>18</x:v>
      </x:c>
      <x:c r="B53" s="7">
        <x:v>22</x:v>
      </x:c>
      <x:c r="C53" s="8">
        <x:v>45954</x:v>
      </x:c>
      <x:c r="D53" s="7" t="s">
        <x:v>34</x:v>
      </x:c>
      <x:c r="E53" s="9">
        <x:v>15</x:v>
      </x:c>
      <x:c r="F53" s="7" t="s">
        <x:v>20</x:v>
      </x:c>
      <x:c r="G53" s="10">
        <x:v>150</x:v>
      </x:c>
      <x:c r="H53" s="7" t="s">
        <x:v>33</x:v>
      </x:c>
      <x:c r="I53" s="10">
        <x:v>3</x:v>
      </x:c>
      <x:c r="J53" t="str">
        <x:f>IF(A53="","", "SAMP-"&amp;A53&amp;"-L"&amp;TEXT(B53,"00")&amp;"-"&amp;TEXT(C53,"yyyymmdd")&amp;"-"&amp;D53&amp;"-H"&amp;TEXT(E53,"00")&amp;"-"&amp;H53)</x:f>
        <x:v>SAMP-KG01-L22-20251024-ORD-2025-00057-H15-Chip</x:v>
      </x:c>
      <x:c r="K53" t="str">
        <x:f>IF(A53="","",IF(AND(G53&gt;=0,I53&gt;=0,I53&lt;=G53),"OK","CHECK"))</x:f>
        <x:v>OK</x:v>
      </x:c>
      <x:c r="L53" t="str">
        <x:f>IF(A53="","",IF(AND(E53&gt;=0,E53&lt;=23),"OK","CHECK"))</x:f>
        <x:v>OK</x:v>
      </x:c>
      <x:c r="M53" t="str">
        <x:f>IF(A53="","",IF(AND(K53="OK",L53="OK"),"OK","CHECK"))</x:f>
        <x:v>OK</x:v>
      </x:c>
    </x:row>
    <x:row r="54" ht="18" customHeight="1">
      <x:c r="A54" s="7" t="s">
        <x:v>18</x:v>
      </x:c>
      <x:c r="B54" s="7">
        <x:v>22</x:v>
      </x:c>
      <x:c r="C54" s="8">
        <x:v>45954</x:v>
      </x:c>
      <x:c r="D54" s="7" t="s">
        <x:v>34</x:v>
      </x:c>
      <x:c r="E54" s="9">
        <x:v>20</x:v>
      </x:c>
      <x:c r="F54" s="7" t="s">
        <x:v>23</x:v>
      </x:c>
      <x:c r="G54" s="10">
        <x:v>100</x:v>
      </x:c>
      <x:c r="H54" s="7" t="s">
        <x:v>28</x:v>
      </x:c>
      <x:c r="I54" s="10">
        <x:v>1</x:v>
      </x:c>
      <x:c r="J54" t="str">
        <x:f>IF(A54="","", "SAMP-"&amp;A54&amp;"-L"&amp;TEXT(B54,"00")&amp;"-"&amp;TEXT(C54,"yyyymmdd")&amp;"-"&amp;D54&amp;"-H"&amp;TEXT(E54,"00")&amp;"-"&amp;H54)</x:f>
        <x:v>SAMP-KG01-L22-20251024-ORD-2025-00057-H20-Blister</x:v>
      </x:c>
      <x:c r="K54" t="str">
        <x:f>IF(A54="","",IF(AND(G54&gt;=0,I54&gt;=0,I54&lt;=G54),"OK","CHECK"))</x:f>
        <x:v>OK</x:v>
      </x:c>
      <x:c r="L54" t="str">
        <x:f>IF(A54="","",IF(AND(E54&gt;=0,E54&lt;=23),"OK","CHECK"))</x:f>
        <x:v>OK</x:v>
      </x:c>
      <x:c r="M54" t="str">
        <x:f>IF(A54="","",IF(AND(K54="OK",L54="OK"),"OK","CHECK"))</x:f>
        <x:v>OK</x:v>
      </x:c>
    </x:row>
    <x:row r="55" ht="18" customHeight="1">
      <x:c r="A55" s="7" t="s">
        <x:v>18</x:v>
      </x:c>
      <x:c r="B55" s="7">
        <x:v>22</x:v>
      </x:c>
      <x:c r="C55" s="8">
        <x:v>45954</x:v>
      </x:c>
      <x:c r="D55" s="7" t="s">
        <x:v>34</x:v>
      </x:c>
      <x:c r="E55" s="9">
        <x:v>23</x:v>
      </x:c>
      <x:c r="F55" s="7" t="s">
        <x:v>23</x:v>
      </x:c>
      <x:c r="G55" s="10">
        <x:v>50</x:v>
      </x:c>
      <x:c r="H55" s="7" t="s">
        <x:v>22</x:v>
      </x:c>
      <x:c r="I55" s="10">
        <x:v>0</x:v>
      </x:c>
      <x:c r="J55" t="str">
        <x:f>IF(A55="","", "SAMP-"&amp;A55&amp;"-L"&amp;TEXT(B55,"00")&amp;"-"&amp;TEXT(C55,"yyyymmdd")&amp;"-"&amp;D55&amp;"-H"&amp;TEXT(E55,"00")&amp;"-"&amp;H55)</x:f>
        <x:v>SAMP-KG01-L22-20251024-ORD-2025-00057-H23-Overpress</x:v>
      </x:c>
      <x:c r="K55" t="str">
        <x:f>IF(A55="","",IF(AND(G55&gt;=0,I55&gt;=0,I55&lt;=G55),"OK","CHECK"))</x:f>
        <x:v>OK</x:v>
      </x:c>
      <x:c r="L55" t="str">
        <x:f>IF(A55="","",IF(AND(E55&gt;=0,E55&lt;=23),"OK","CHECK"))</x:f>
        <x:v>OK</x:v>
      </x:c>
      <x:c r="M55" t="str">
        <x:f>IF(A55="","",IF(AND(K55="OK",L55="OK"),"OK","CHECK"))</x:f>
        <x:v>OK</x:v>
      </x:c>
    </x:row>
    <x:row r="56" ht="18" customHeight="1">
      <x:c r="A56" s="7" t="s">
        <x:v>18</x:v>
      </x:c>
      <x:c r="B56" s="7">
        <x:v>22</x:v>
      </x:c>
      <x:c r="C56" s="8">
        <x:v>45955</x:v>
      </x:c>
      <x:c r="D56" s="7" t="s">
        <x:v>34</x:v>
      </x:c>
      <x:c r="E56" s="9">
        <x:v>9</x:v>
      </x:c>
      <x:c r="F56" s="7" t="s">
        <x:v>20</x:v>
      </x:c>
      <x:c r="G56" s="10">
        <x:v>150</x:v>
      </x:c>
      <x:c r="H56" s="7" t="s">
        <x:v>22</x:v>
      </x:c>
      <x:c r="I56" s="10">
        <x:v>0</x:v>
      </x:c>
      <x:c r="J56" t="str">
        <x:f>IF(A56="","", "SAMP-"&amp;A56&amp;"-L"&amp;TEXT(B56,"00")&amp;"-"&amp;TEXT(C56,"yyyymmdd")&amp;"-"&amp;D56&amp;"-H"&amp;TEXT(E56,"00")&amp;"-"&amp;H56)</x:f>
        <x:v>SAMP-KG01-L22-20251025-ORD-2025-00057-H09-Overpress</x:v>
      </x:c>
      <x:c r="K56" t="str">
        <x:f>IF(A56="","",IF(AND(G56&gt;=0,I56&gt;=0,I56&lt;=G56),"OK","CHECK"))</x:f>
        <x:v>OK</x:v>
      </x:c>
      <x:c r="L56" t="str">
        <x:f>IF(A56="","",IF(AND(E56&gt;=0,E56&lt;=23),"OK","CHECK"))</x:f>
        <x:v>OK</x:v>
      </x:c>
      <x:c r="M56" t="str">
        <x:f>IF(A56="","",IF(AND(K56="OK",L56="OK"),"OK","CHECK"))</x:f>
        <x:v>OK</x:v>
      </x:c>
    </x:row>
    <x:row r="57" ht="18" customHeight="1">
      <x:c r="A57" s="7" t="s">
        <x:v>18</x:v>
      </x:c>
      <x:c r="B57" s="7">
        <x:v>22</x:v>
      </x:c>
      <x:c r="C57" s="8">
        <x:v>45955</x:v>
      </x:c>
      <x:c r="D57" s="7" t="s">
        <x:v>34</x:v>
      </x:c>
      <x:c r="E57" s="9">
        <x:v>15</x:v>
      </x:c>
      <x:c r="F57" s="7" t="s">
        <x:v>20</x:v>
      </x:c>
      <x:c r="G57" s="10">
        <x:v>100</x:v>
      </x:c>
      <x:c r="H57" s="7" t="s">
        <x:v>33</x:v>
      </x:c>
      <x:c r="I57" s="10">
        <x:v>2</x:v>
      </x:c>
      <x:c r="J57" t="str">
        <x:f>IF(A57="","", "SAMP-"&amp;A57&amp;"-L"&amp;TEXT(B57,"00")&amp;"-"&amp;TEXT(C57,"yyyymmdd")&amp;"-"&amp;D57&amp;"-H"&amp;TEXT(E57,"00")&amp;"-"&amp;H57)</x:f>
        <x:v>SAMP-KG01-L22-20251025-ORD-2025-00057-H15-Chip</x:v>
      </x:c>
      <x:c r="K57" t="str">
        <x:f>IF(A57="","",IF(AND(G57&gt;=0,I57&gt;=0,I57&lt;=G57),"OK","CHECK"))</x:f>
        <x:v>OK</x:v>
      </x:c>
      <x:c r="L57" t="str">
        <x:f>IF(A57="","",IF(AND(E57&gt;=0,E57&lt;=23),"OK","CHECK"))</x:f>
        <x:v>OK</x:v>
      </x:c>
      <x:c r="M57" t="str">
        <x:f>IF(A57="","",IF(AND(K57="OK",L57="OK"),"OK","CHECK"))</x:f>
        <x:v>OK</x:v>
      </x:c>
    </x:row>
    <x:row r="58" ht="18" customHeight="1">
      <x:c r="A58" s="7" t="s">
        <x:v>18</x:v>
      </x:c>
      <x:c r="B58" s="7">
        <x:v>22</x:v>
      </x:c>
      <x:c r="C58" s="8">
        <x:v>45955</x:v>
      </x:c>
      <x:c r="D58" s="7" t="s">
        <x:v>34</x:v>
      </x:c>
      <x:c r="E58" s="9">
        <x:v>20</x:v>
      </x:c>
      <x:c r="F58" s="7" t="s">
        <x:v>23</x:v>
      </x:c>
      <x:c r="G58" s="10">
        <x:v>100</x:v>
      </x:c>
      <x:c r="H58" s="7" t="s">
        <x:v>26</x:v>
      </x:c>
      <x:c r="I58" s="10">
        <x:v>0</x:v>
      </x:c>
      <x:c r="J58" t="str">
        <x:f>IF(A58="","", "SAMP-"&amp;A58&amp;"-L"&amp;TEXT(B58,"00")&amp;"-"&amp;TEXT(C58,"yyyymmdd")&amp;"-"&amp;D58&amp;"-H"&amp;TEXT(E58,"00")&amp;"-"&amp;H58)</x:f>
        <x:v>SAMP-KG01-L22-20251025-ORD-2025-00057-H20-Thin Wall</x:v>
      </x:c>
      <x:c r="K58" t="str">
        <x:f>IF(A58="","",IF(AND(G58&gt;=0,I58&gt;=0,I58&lt;=G58),"OK","CHECK"))</x:f>
        <x:v>OK</x:v>
      </x:c>
      <x:c r="L58" t="str">
        <x:f>IF(A58="","",IF(AND(E58&gt;=0,E58&lt;=23),"OK","CHECK"))</x:f>
        <x:v>OK</x:v>
      </x:c>
      <x:c r="M58" t="str">
        <x:f>IF(A58="","",IF(AND(K58="OK",L58="OK"),"OK","CHECK"))</x:f>
        <x:v>OK</x:v>
      </x:c>
    </x:row>
    <x:row r="59" ht="18" customHeight="1">
      <x:c r="A59" s="7" t="s">
        <x:v>18</x:v>
      </x:c>
      <x:c r="B59" s="7">
        <x:v>22</x:v>
      </x:c>
      <x:c r="C59" s="8">
        <x:v>45955</x:v>
      </x:c>
      <x:c r="D59" s="7" t="s">
        <x:v>34</x:v>
      </x:c>
      <x:c r="E59" s="9">
        <x:v>23</x:v>
      </x:c>
      <x:c r="F59" s="7" t="s">
        <x:v>23</x:v>
      </x:c>
      <x:c r="G59" s="10">
        <x:v>200</x:v>
      </x:c>
      <x:c r="H59" s="7" t="s">
        <x:v>27</x:v>
      </x:c>
      <x:c r="I59" s="10">
        <x:v>6</x:v>
      </x:c>
      <x:c r="J59" t="str">
        <x:f>IF(A59="","", "SAMP-"&amp;A59&amp;"-L"&amp;TEXT(B59,"00")&amp;"-"&amp;TEXT(C59,"yyyymmdd")&amp;"-"&amp;D59&amp;"-H"&amp;TEXT(E59,"00")&amp;"-"&amp;H59)</x:f>
        <x:v>SAMP-KG01-L22-20251025-ORD-2025-00057-H23-Stone</x:v>
      </x:c>
      <x:c r="K59" t="str">
        <x:f>IF(A59="","",IF(AND(G59&gt;=0,I59&gt;=0,I59&lt;=G59),"OK","CHECK"))</x:f>
        <x:v>OK</x:v>
      </x:c>
      <x:c r="L59" t="str">
        <x:f>IF(A59="","",IF(AND(E59&gt;=0,E59&lt;=23),"OK","CHECK"))</x:f>
        <x:v>OK</x:v>
      </x:c>
      <x:c r="M59" t="str">
        <x:f>IF(A59="","",IF(AND(K59="OK",L59="OK"),"OK","CHECK"))</x:f>
        <x:v>OK</x:v>
      </x:c>
    </x:row>
    <x:row r="60" ht="18" customHeight="1">
      <x:c r="A60" s="7" t="s">
        <x:v>18</x:v>
      </x:c>
      <x:c r="B60" s="7">
        <x:v>22</x:v>
      </x:c>
      <x:c r="C60" s="8">
        <x:v>45956</x:v>
      </x:c>
      <x:c r="D60" s="7" t="s">
        <x:v>35</x:v>
      </x:c>
      <x:c r="E60" s="9">
        <x:v>7</x:v>
      </x:c>
      <x:c r="F60" s="7" t="s">
        <x:v>20</x:v>
      </x:c>
      <x:c r="G60" s="10">
        <x:v>200</x:v>
      </x:c>
      <x:c r="H60" s="7" t="s">
        <x:v>25</x:v>
      </x:c>
      <x:c r="I60" s="10">
        <x:v>14</x:v>
      </x:c>
      <x:c r="J60" t="str">
        <x:f>IF(A60="","", "SAMP-"&amp;A60&amp;"-L"&amp;TEXT(B60,"00")&amp;"-"&amp;TEXT(C60,"yyyymmdd")&amp;"-"&amp;D60&amp;"-H"&amp;TEXT(E60,"00")&amp;"-"&amp;H60)</x:f>
        <x:v>SAMP-KG01-L22-20251026-ORD-2025-00058-H07-Distortion</x:v>
      </x:c>
      <x:c r="K60" t="str">
        <x:f>IF(A60="","",IF(AND(G60&gt;=0,I60&gt;=0,I60&lt;=G60),"OK","CHECK"))</x:f>
        <x:v>OK</x:v>
      </x:c>
      <x:c r="L60" t="str">
        <x:f>IF(A60="","",IF(AND(E60&gt;=0,E60&lt;=23),"OK","CHECK"))</x:f>
        <x:v>OK</x:v>
      </x:c>
      <x:c r="M60" t="str">
        <x:f>IF(A60="","",IF(AND(K60="OK",L60="OK"),"OK","CHECK"))</x:f>
        <x:v>OK</x:v>
      </x:c>
    </x:row>
    <x:row r="61" ht="18" customHeight="1">
      <x:c r="A61" s="7" t="s">
        <x:v>18</x:v>
      </x:c>
      <x:c r="B61" s="7">
        <x:v>22</x:v>
      </x:c>
      <x:c r="C61" s="8">
        <x:v>45956</x:v>
      </x:c>
      <x:c r="D61" s="7" t="s">
        <x:v>35</x:v>
      </x:c>
      <x:c r="E61" s="9">
        <x:v>12</x:v>
      </x:c>
      <x:c r="F61" s="7" t="s">
        <x:v>20</x:v>
      </x:c>
      <x:c r="G61" s="10">
        <x:v>100</x:v>
      </x:c>
      <x:c r="H61" s="7" t="s">
        <x:v>28</x:v>
      </x:c>
      <x:c r="I61" s="10">
        <x:v>12</x:v>
      </x:c>
      <x:c r="J61" t="str">
        <x:f>IF(A61="","", "SAMP-"&amp;A61&amp;"-L"&amp;TEXT(B61,"00")&amp;"-"&amp;TEXT(C61,"yyyymmdd")&amp;"-"&amp;D61&amp;"-H"&amp;TEXT(E61,"00")&amp;"-"&amp;H61)</x:f>
        <x:v>SAMP-KG01-L22-20251026-ORD-2025-00058-H12-Blister</x:v>
      </x:c>
      <x:c r="K61" t="str">
        <x:f>IF(A61="","",IF(AND(G61&gt;=0,I61&gt;=0,I61&lt;=G61),"OK","CHECK"))</x:f>
        <x:v>OK</x:v>
      </x:c>
      <x:c r="L61" t="str">
        <x:f>IF(A61="","",IF(AND(E61&gt;=0,E61&lt;=23),"OK","CHECK"))</x:f>
        <x:v>OK</x:v>
      </x:c>
      <x:c r="M61" t="str">
        <x:f>IF(A61="","",IF(AND(K61="OK",L61="OK"),"OK","CHECK"))</x:f>
        <x:v>OK</x:v>
      </x:c>
    </x:row>
    <x:row r="62" ht="18" customHeight="1">
      <x:c r="A62" s="7" t="s">
        <x:v>18</x:v>
      </x:c>
      <x:c r="B62" s="7">
        <x:v>22</x:v>
      </x:c>
      <x:c r="C62" s="8">
        <x:v>45956</x:v>
      </x:c>
      <x:c r="D62" s="7" t="s">
        <x:v>35</x:v>
      </x:c>
      <x:c r="E62" s="9">
        <x:v>16</x:v>
      </x:c>
      <x:c r="F62" s="7" t="s">
        <x:v>20</x:v>
      </x:c>
      <x:c r="G62" s="10">
        <x:v>50</x:v>
      </x:c>
      <x:c r="H62" s="7" t="s">
        <x:v>22</x:v>
      </x:c>
      <x:c r="I62" s="10">
        <x:v>1</x:v>
      </x:c>
      <x:c r="J62" t="str">
        <x:f>IF(A62="","", "SAMP-"&amp;A62&amp;"-L"&amp;TEXT(B62,"00")&amp;"-"&amp;TEXT(C62,"yyyymmdd")&amp;"-"&amp;D62&amp;"-H"&amp;TEXT(E62,"00")&amp;"-"&amp;H62)</x:f>
        <x:v>SAMP-KG01-L22-20251026-ORD-2025-00058-H16-Overpress</x:v>
      </x:c>
      <x:c r="K62" t="str">
        <x:f>IF(A62="","",IF(AND(G62&gt;=0,I62&gt;=0,I62&lt;=G62),"OK","CHECK"))</x:f>
        <x:v>OK</x:v>
      </x:c>
      <x:c r="L62" t="str">
        <x:f>IF(A62="","",IF(AND(E62&gt;=0,E62&lt;=23),"OK","CHECK"))</x:f>
        <x:v>OK</x:v>
      </x:c>
      <x:c r="M62" t="str">
        <x:f>IF(A62="","",IF(AND(K62="OK",L62="OK"),"OK","CHECK"))</x:f>
        <x:v>OK</x:v>
      </x:c>
    </x:row>
    <x:row r="63" ht="18" customHeight="1">
      <x:c r="A63" s="7" t="s">
        <x:v>18</x:v>
      </x:c>
      <x:c r="B63" s="7">
        <x:v>22</x:v>
      </x:c>
      <x:c r="C63" s="8">
        <x:v>45956</x:v>
      </x:c>
      <x:c r="D63" s="7" t="s">
        <x:v>35</x:v>
      </x:c>
      <x:c r="E63" s="9">
        <x:v>20</x:v>
      </x:c>
      <x:c r="F63" s="7" t="s">
        <x:v>23</x:v>
      </x:c>
      <x:c r="G63" s="10">
        <x:v>100</x:v>
      </x:c>
      <x:c r="H63" s="7" t="s">
        <x:v>33</x:v>
      </x:c>
      <x:c r="I63" s="10">
        <x:v>1</x:v>
      </x:c>
      <x:c r="J63" t="str">
        <x:f>IF(A63="","", "SAMP-"&amp;A63&amp;"-L"&amp;TEXT(B63,"00")&amp;"-"&amp;TEXT(C63,"yyyymmdd")&amp;"-"&amp;D63&amp;"-H"&amp;TEXT(E63,"00")&amp;"-"&amp;H63)</x:f>
        <x:v>SAMP-KG01-L22-20251026-ORD-2025-00058-H20-Chip</x:v>
      </x:c>
      <x:c r="K63" t="str">
        <x:f>IF(A63="","",IF(AND(G63&gt;=0,I63&gt;=0,I63&lt;=G63),"OK","CHECK"))</x:f>
        <x:v>OK</x:v>
      </x:c>
      <x:c r="L63" t="str">
        <x:f>IF(A63="","",IF(AND(E63&gt;=0,E63&lt;=23),"OK","CHECK"))</x:f>
        <x:v>OK</x:v>
      </x:c>
      <x:c r="M63" t="str">
        <x:f>IF(A63="","",IF(AND(K63="OK",L63="OK"),"OK","CHECK"))</x:f>
        <x:v>OK</x:v>
      </x:c>
    </x:row>
    <x:row r="64" ht="18" customHeight="1">
      <x:c r="A64" s="7" t="s">
        <x:v>18</x:v>
      </x:c>
      <x:c r="B64" s="7">
        <x:v>22</x:v>
      </x:c>
      <x:c r="C64" s="8">
        <x:v>45956</x:v>
      </x:c>
      <x:c r="D64" s="7" t="s">
        <x:v>35</x:v>
      </x:c>
      <x:c r="E64" s="9">
        <x:v>23</x:v>
      </x:c>
      <x:c r="F64" s="7" t="s">
        <x:v>23</x:v>
      </x:c>
      <x:c r="G64" s="10">
        <x:v>50</x:v>
      </x:c>
      <x:c r="H64" s="7" t="s">
        <x:v>22</x:v>
      </x:c>
      <x:c r="I64" s="10">
        <x:v>0</x:v>
      </x:c>
      <x:c r="J64" t="str">
        <x:f>IF(A64="","", "SAMP-"&amp;A64&amp;"-L"&amp;TEXT(B64,"00")&amp;"-"&amp;TEXT(C64,"yyyymmdd")&amp;"-"&amp;D64&amp;"-H"&amp;TEXT(E64,"00")&amp;"-"&amp;H64)</x:f>
        <x:v>SAMP-KG01-L22-20251026-ORD-2025-00058-H23-Overpress</x:v>
      </x:c>
      <x:c r="K64" t="str">
        <x:f>IF(A64="","",IF(AND(G64&gt;=0,I64&gt;=0,I64&lt;=G64),"OK","CHECK"))</x:f>
        <x:v>OK</x:v>
      </x:c>
      <x:c r="L64" t="str">
        <x:f>IF(A64="","",IF(AND(E64&gt;=0,E64&lt;=23),"OK","CHECK"))</x:f>
        <x:v>OK</x:v>
      </x:c>
      <x:c r="M64" t="str">
        <x:f>IF(A64="","",IF(AND(K64="OK",L64="OK"),"OK","CHECK"))</x:f>
        <x:v>OK</x:v>
      </x:c>
    </x:row>
    <x:row r="65" ht="18" customHeight="1">
      <x:c r="A65" s="7" t="s">
        <x:v>18</x:v>
      </x:c>
      <x:c r="B65" s="7">
        <x:v>23</x:v>
      </x:c>
      <x:c r="C65" s="8">
        <x:v>45950</x:v>
      </x:c>
      <x:c r="D65" s="7" t="s">
        <x:v>36</x:v>
      </x:c>
      <x:c r="E65" s="9">
        <x:v>9</x:v>
      </x:c>
      <x:c r="F65" s="7" t="s">
        <x:v>20</x:v>
      </x:c>
      <x:c r="G65" s="10">
        <x:v>100</x:v>
      </x:c>
      <x:c r="H65" s="7" t="s">
        <x:v>22</x:v>
      </x:c>
      <x:c r="I65" s="10">
        <x:v>1</x:v>
      </x:c>
      <x:c r="J65" t="str">
        <x:f>IF(A65="","", "SAMP-"&amp;A65&amp;"-L"&amp;TEXT(B65,"00")&amp;"-"&amp;TEXT(C65,"yyyymmdd")&amp;"-"&amp;D65&amp;"-H"&amp;TEXT(E65,"00")&amp;"-"&amp;H65)</x:f>
        <x:v>SAMP-KG01-L23-20251020-ORD-2025-00092-H09-Overpress</x:v>
      </x:c>
      <x:c r="K65" t="str">
        <x:f>IF(A65="","",IF(AND(G65&gt;=0,I65&gt;=0,I65&lt;=G65),"OK","CHECK"))</x:f>
        <x:v>OK</x:v>
      </x:c>
      <x:c r="L65" t="str">
        <x:f>IF(A65="","",IF(AND(E65&gt;=0,E65&lt;=23),"OK","CHECK"))</x:f>
        <x:v>OK</x:v>
      </x:c>
      <x:c r="M65" t="str">
        <x:f>IF(A65="","",IF(AND(K65="OK",L65="OK"),"OK","CHECK"))</x:f>
        <x:v>OK</x:v>
      </x:c>
    </x:row>
    <x:row r="66" ht="18" customHeight="1">
      <x:c r="A66" s="7" t="s">
        <x:v>18</x:v>
      </x:c>
      <x:c r="B66" s="7">
        <x:v>23</x:v>
      </x:c>
      <x:c r="C66" s="8">
        <x:v>45950</x:v>
      </x:c>
      <x:c r="D66" s="7" t="s">
        <x:v>36</x:v>
      </x:c>
      <x:c r="E66" s="9">
        <x:v>15</x:v>
      </x:c>
      <x:c r="F66" s="7" t="s">
        <x:v>20</x:v>
      </x:c>
      <x:c r="G66" s="10">
        <x:v>150</x:v>
      </x:c>
      <x:c r="H66" s="7" t="s">
        <x:v>26</x:v>
      </x:c>
      <x:c r="I66" s="10">
        <x:v>10</x:v>
      </x:c>
      <x:c r="J66" t="str">
        <x:f>IF(A66="","", "SAMP-"&amp;A66&amp;"-L"&amp;TEXT(B66,"00")&amp;"-"&amp;TEXT(C66,"yyyymmdd")&amp;"-"&amp;D66&amp;"-H"&amp;TEXT(E66,"00")&amp;"-"&amp;H66)</x:f>
        <x:v>SAMP-KG01-L23-20251020-ORD-2025-00092-H15-Thin Wall</x:v>
      </x:c>
      <x:c r="K66" t="str">
        <x:f>IF(A66="","",IF(AND(G66&gt;=0,I66&gt;=0,I66&lt;=G66),"OK","CHECK"))</x:f>
        <x:v>OK</x:v>
      </x:c>
      <x:c r="L66" t="str">
        <x:f>IF(A66="","",IF(AND(E66&gt;=0,E66&lt;=23),"OK","CHECK"))</x:f>
        <x:v>OK</x:v>
      </x:c>
      <x:c r="M66" t="str">
        <x:f>IF(A66="","",IF(AND(K66="OK",L66="OK"),"OK","CHECK"))</x:f>
        <x:v>OK</x:v>
      </x:c>
    </x:row>
    <x:row r="67" ht="18" customHeight="1">
      <x:c r="A67" s="7" t="s">
        <x:v>18</x:v>
      </x:c>
      <x:c r="B67" s="7">
        <x:v>23</x:v>
      </x:c>
      <x:c r="C67" s="8">
        <x:v>45950</x:v>
      </x:c>
      <x:c r="D67" s="7" t="s">
        <x:v>36</x:v>
      </x:c>
      <x:c r="E67" s="9">
        <x:v>20</x:v>
      </x:c>
      <x:c r="F67" s="7" t="s">
        <x:v>23</x:v>
      </x:c>
      <x:c r="G67" s="10">
        <x:v>50</x:v>
      </x:c>
      <x:c r="H67" s="7" t="s">
        <x:v>21</x:v>
      </x:c>
      <x:c r="I67" s="10">
        <x:v>0</x:v>
      </x:c>
      <x:c r="J67" t="str">
        <x:f>IF(A67="","", "SAMP-"&amp;A67&amp;"-L"&amp;TEXT(B67,"00")&amp;"-"&amp;TEXT(C67,"yyyymmdd")&amp;"-"&amp;D67&amp;"-H"&amp;TEXT(E67,"00")&amp;"-"&amp;H67)</x:f>
        <x:v>SAMP-KG01-L23-20251020-ORD-2025-00092-H20-Choke Neck</x:v>
      </x:c>
      <x:c r="K67" t="str">
        <x:f>IF(A67="","",IF(AND(G67&gt;=0,I67&gt;=0,I67&lt;=G67),"OK","CHECK"))</x:f>
        <x:v>OK</x:v>
      </x:c>
      <x:c r="L67" t="str">
        <x:f>IF(A67="","",IF(AND(E67&gt;=0,E67&lt;=23),"OK","CHECK"))</x:f>
        <x:v>OK</x:v>
      </x:c>
      <x:c r="M67" t="str">
        <x:f>IF(A67="","",IF(AND(K67="OK",L67="OK"),"OK","CHECK"))</x:f>
        <x:v>OK</x:v>
      </x:c>
    </x:row>
    <x:row r="68" ht="18" customHeight="1">
      <x:c r="A68" s="7" t="s">
        <x:v>18</x:v>
      </x:c>
      <x:c r="B68" s="7">
        <x:v>23</x:v>
      </x:c>
      <x:c r="C68" s="8">
        <x:v>45950</x:v>
      </x:c>
      <x:c r="D68" s="7" t="s">
        <x:v>36</x:v>
      </x:c>
      <x:c r="E68" s="9">
        <x:v>23</x:v>
      </x:c>
      <x:c r="F68" s="7" t="s">
        <x:v>23</x:v>
      </x:c>
      <x:c r="G68" s="10">
        <x:v>200</x:v>
      </x:c>
      <x:c r="H68" s="7" t="s">
        <x:v>29</x:v>
      </x:c>
      <x:c r="I68" s="10">
        <x:v>10</x:v>
      </x:c>
      <x:c r="J68" t="str">
        <x:f>IF(A68="","", "SAMP-"&amp;A68&amp;"-L"&amp;TEXT(B68,"00")&amp;"-"&amp;TEXT(C68,"yyyymmdd")&amp;"-"&amp;D68&amp;"-H"&amp;TEXT(E68,"00")&amp;"-"&amp;H68)</x:f>
        <x:v>SAMP-KG01-L23-20251020-ORD-2025-00092-H23-Bird Swing</x:v>
      </x:c>
      <x:c r="K68" t="str">
        <x:f>IF(A68="","",IF(AND(G68&gt;=0,I68&gt;=0,I68&lt;=G68),"OK","CHECK"))</x:f>
        <x:v>OK</x:v>
      </x:c>
      <x:c r="L68" t="str">
        <x:f>IF(A68="","",IF(AND(E68&gt;=0,E68&lt;=23),"OK","CHECK"))</x:f>
        <x:v>OK</x:v>
      </x:c>
      <x:c r="M68" t="str">
        <x:f>IF(A68="","",IF(AND(K68="OK",L68="OK"),"OK","CHECK"))</x:f>
        <x:v>OK</x:v>
      </x:c>
    </x:row>
    <x:row r="69" ht="18" customHeight="1">
      <x:c r="A69" s="7" t="s">
        <x:v>18</x:v>
      </x:c>
      <x:c r="B69" s="7">
        <x:v>23</x:v>
      </x:c>
      <x:c r="C69" s="8">
        <x:v>45951</x:v>
      </x:c>
      <x:c r="D69" s="7" t="s">
        <x:v>36</x:v>
      </x:c>
      <x:c r="E69" s="9">
        <x:v>9</x:v>
      </x:c>
      <x:c r="F69" s="7" t="s">
        <x:v>20</x:v>
      </x:c>
      <x:c r="G69" s="10">
        <x:v>100</x:v>
      </x:c>
      <x:c r="H69" s="7" t="s">
        <x:v>33</x:v>
      </x:c>
      <x:c r="I69" s="10">
        <x:v>2</x:v>
      </x:c>
      <x:c r="J69" t="str">
        <x:f>IF(A69="","", "SAMP-"&amp;A69&amp;"-L"&amp;TEXT(B69,"00")&amp;"-"&amp;TEXT(C69,"yyyymmdd")&amp;"-"&amp;D69&amp;"-H"&amp;TEXT(E69,"00")&amp;"-"&amp;H69)</x:f>
        <x:v>SAMP-KG01-L23-20251021-ORD-2025-00092-H09-Chip</x:v>
      </x:c>
      <x:c r="K69" t="str">
        <x:f>IF(A69="","",IF(AND(G69&gt;=0,I69&gt;=0,I69&lt;=G69),"OK","CHECK"))</x:f>
        <x:v>OK</x:v>
      </x:c>
      <x:c r="L69" t="str">
        <x:f>IF(A69="","",IF(AND(E69&gt;=0,E69&lt;=23),"OK","CHECK"))</x:f>
        <x:v>OK</x:v>
      </x:c>
      <x:c r="M69" t="str">
        <x:f>IF(A69="","",IF(AND(K69="OK",L69="OK"),"OK","CHECK"))</x:f>
        <x:v>OK</x:v>
      </x:c>
    </x:row>
    <x:row r="70" ht="18" customHeight="1">
      <x:c r="A70" s="7" t="s">
        <x:v>18</x:v>
      </x:c>
      <x:c r="B70" s="7">
        <x:v>23</x:v>
      </x:c>
      <x:c r="C70" s="8">
        <x:v>45951</x:v>
      </x:c>
      <x:c r="D70" s="7" t="s">
        <x:v>36</x:v>
      </x:c>
      <x:c r="E70" s="9">
        <x:v>15</x:v>
      </x:c>
      <x:c r="F70" s="7" t="s">
        <x:v>20</x:v>
      </x:c>
      <x:c r="G70" s="10">
        <x:v>50</x:v>
      </x:c>
      <x:c r="H70" s="7" t="s">
        <x:v>25</x:v>
      </x:c>
      <x:c r="I70" s="10">
        <x:v>0</x:v>
      </x:c>
      <x:c r="J70" t="str">
        <x:f>IF(A70="","", "SAMP-"&amp;A70&amp;"-L"&amp;TEXT(B70,"00")&amp;"-"&amp;TEXT(C70,"yyyymmdd")&amp;"-"&amp;D70&amp;"-H"&amp;TEXT(E70,"00")&amp;"-"&amp;H70)</x:f>
        <x:v>SAMP-KG01-L23-20251021-ORD-2025-00092-H15-Distortion</x:v>
      </x:c>
      <x:c r="K70" t="str">
        <x:f>IF(A70="","",IF(AND(G70&gt;=0,I70&gt;=0,I70&lt;=G70),"OK","CHECK"))</x:f>
        <x:v>OK</x:v>
      </x:c>
      <x:c r="L70" t="str">
        <x:f>IF(A70="","",IF(AND(E70&gt;=0,E70&lt;=23),"OK","CHECK"))</x:f>
        <x:v>OK</x:v>
      </x:c>
      <x:c r="M70" t="str">
        <x:f>IF(A70="","",IF(AND(K70="OK",L70="OK"),"OK","CHECK"))</x:f>
        <x:v>OK</x:v>
      </x:c>
    </x:row>
    <x:row r="71" ht="18" customHeight="1">
      <x:c r="A71" s="7" t="s">
        <x:v>18</x:v>
      </x:c>
      <x:c r="B71" s="7">
        <x:v>23</x:v>
      </x:c>
      <x:c r="C71" s="8">
        <x:v>45951</x:v>
      </x:c>
      <x:c r="D71" s="7" t="s">
        <x:v>36</x:v>
      </x:c>
      <x:c r="E71" s="9">
        <x:v>20</x:v>
      </x:c>
      <x:c r="F71" s="7" t="s">
        <x:v>23</x:v>
      </x:c>
      <x:c r="G71" s="10">
        <x:v>200</x:v>
      </x:c>
      <x:c r="H71" s="7" t="s">
        <x:v>26</x:v>
      </x:c>
      <x:c r="I71" s="10">
        <x:v>4</x:v>
      </x:c>
      <x:c r="J71" t="str">
        <x:f>IF(A71="","", "SAMP-"&amp;A71&amp;"-L"&amp;TEXT(B71,"00")&amp;"-"&amp;TEXT(C71,"yyyymmdd")&amp;"-"&amp;D71&amp;"-H"&amp;TEXT(E71,"00")&amp;"-"&amp;H71)</x:f>
        <x:v>SAMP-KG01-L23-20251021-ORD-2025-00092-H20-Thin Wall</x:v>
      </x:c>
      <x:c r="K71" t="str">
        <x:f>IF(A71="","",IF(AND(G71&gt;=0,I71&gt;=0,I71&lt;=G71),"OK","CHECK"))</x:f>
        <x:v>OK</x:v>
      </x:c>
      <x:c r="L71" t="str">
        <x:f>IF(A71="","",IF(AND(E71&gt;=0,E71&lt;=23),"OK","CHECK"))</x:f>
        <x:v>OK</x:v>
      </x:c>
      <x:c r="M71" t="str">
        <x:f>IF(A71="","",IF(AND(K71="OK",L71="OK"),"OK","CHECK"))</x:f>
        <x:v>OK</x:v>
      </x:c>
    </x:row>
    <x:row r="72" ht="18" customHeight="1">
      <x:c r="A72" s="7" t="s">
        <x:v>18</x:v>
      </x:c>
      <x:c r="B72" s="7">
        <x:v>23</x:v>
      </x:c>
      <x:c r="C72" s="8">
        <x:v>45951</x:v>
      </x:c>
      <x:c r="D72" s="7" t="s">
        <x:v>36</x:v>
      </x:c>
      <x:c r="E72" s="9">
        <x:v>23</x:v>
      </x:c>
      <x:c r="F72" s="7" t="s">
        <x:v>23</x:v>
      </x:c>
      <x:c r="G72" s="10">
        <x:v>50</x:v>
      </x:c>
      <x:c r="H72" s="7" t="s">
        <x:v>30</x:v>
      </x:c>
      <x:c r="I72" s="10">
        <x:v>1</x:v>
      </x:c>
      <x:c r="J72" t="str">
        <x:f>IF(A72="","", "SAMP-"&amp;A72&amp;"-L"&amp;TEXT(B72,"00")&amp;"-"&amp;TEXT(C72,"yyyymmdd")&amp;"-"&amp;D72&amp;"-H"&amp;TEXT(E72,"00")&amp;"-"&amp;H72)</x:f>
        <x:v>SAMP-KG01-L23-20251021-ORD-2025-00092-H23-Crack</x:v>
      </x:c>
      <x:c r="K72" t="str">
        <x:f>IF(A72="","",IF(AND(G72&gt;=0,I72&gt;=0,I72&lt;=G72),"OK","CHECK"))</x:f>
        <x:v>OK</x:v>
      </x:c>
      <x:c r="L72" t="str">
        <x:f>IF(A72="","",IF(AND(E72&gt;=0,E72&lt;=23),"OK","CHECK"))</x:f>
        <x:v>OK</x:v>
      </x:c>
      <x:c r="M72" t="str">
        <x:f>IF(A72="","",IF(AND(K72="OK",L72="OK"),"OK","CHECK"))</x:f>
        <x:v>OK</x:v>
      </x:c>
    </x:row>
    <x:row r="73" ht="18" customHeight="1">
      <x:c r="A73" s="7" t="s">
        <x:v>18</x:v>
      </x:c>
      <x:c r="B73" s="7">
        <x:v>23</x:v>
      </x:c>
      <x:c r="C73" s="8">
        <x:v>45952</x:v>
      </x:c>
      <x:c r="D73" s="7" t="s">
        <x:v>37</x:v>
      </x:c>
      <x:c r="E73" s="9">
        <x:v>9</x:v>
      </x:c>
      <x:c r="F73" s="7" t="s">
        <x:v>20</x:v>
      </x:c>
      <x:c r="G73" s="10">
        <x:v>150</x:v>
      </x:c>
      <x:c r="H73" s="7" t="s">
        <x:v>28</x:v>
      </x:c>
      <x:c r="I73" s="10">
        <x:v>5</x:v>
      </x:c>
      <x:c r="J73" t="str">
        <x:f>IF(A73="","", "SAMP-"&amp;A73&amp;"-L"&amp;TEXT(B73,"00")&amp;"-"&amp;TEXT(C73,"yyyymmdd")&amp;"-"&amp;D73&amp;"-H"&amp;TEXT(E73,"00")&amp;"-"&amp;H73)</x:f>
        <x:v>SAMP-KG01-L23-20251022-ORD-2025-00093-H09-Blister</x:v>
      </x:c>
      <x:c r="K73" t="str">
        <x:f>IF(A73="","",IF(AND(G73&gt;=0,I73&gt;=0,I73&lt;=G73),"OK","CHECK"))</x:f>
        <x:v>OK</x:v>
      </x:c>
      <x:c r="L73" t="str">
        <x:f>IF(A73="","",IF(AND(E73&gt;=0,E73&lt;=23),"OK","CHECK"))</x:f>
        <x:v>OK</x:v>
      </x:c>
      <x:c r="M73" t="str">
        <x:f>IF(A73="","",IF(AND(K73="OK",L73="OK"),"OK","CHECK"))</x:f>
        <x:v>OK</x:v>
      </x:c>
    </x:row>
    <x:row r="74" ht="18" customHeight="1">
      <x:c r="A74" s="7" t="s">
        <x:v>18</x:v>
      </x:c>
      <x:c r="B74" s="7">
        <x:v>23</x:v>
      </x:c>
      <x:c r="C74" s="8">
        <x:v>45952</x:v>
      </x:c>
      <x:c r="D74" s="7" t="s">
        <x:v>37</x:v>
      </x:c>
      <x:c r="E74" s="9">
        <x:v>15</x:v>
      </x:c>
      <x:c r="F74" s="7" t="s">
        <x:v>20</x:v>
      </x:c>
      <x:c r="G74" s="10">
        <x:v>200</x:v>
      </x:c>
      <x:c r="H74" s="7" t="s">
        <x:v>27</x:v>
      </x:c>
      <x:c r="I74" s="10">
        <x:v>7</x:v>
      </x:c>
      <x:c r="J74" t="str">
        <x:f>IF(A74="","", "SAMP-"&amp;A74&amp;"-L"&amp;TEXT(B74,"00")&amp;"-"&amp;TEXT(C74,"yyyymmdd")&amp;"-"&amp;D74&amp;"-H"&amp;TEXT(E74,"00")&amp;"-"&amp;H74)</x:f>
        <x:v>SAMP-KG01-L23-20251022-ORD-2025-00093-H15-Stone</x:v>
      </x:c>
      <x:c r="K74" t="str">
        <x:f>IF(A74="","",IF(AND(G74&gt;=0,I74&gt;=0,I74&lt;=G74),"OK","CHECK"))</x:f>
        <x:v>OK</x:v>
      </x:c>
      <x:c r="L74" t="str">
        <x:f>IF(A74="","",IF(AND(E74&gt;=0,E74&lt;=23),"OK","CHECK"))</x:f>
        <x:v>OK</x:v>
      </x:c>
      <x:c r="M74" t="str">
        <x:f>IF(A74="","",IF(AND(K74="OK",L74="OK"),"OK","CHECK"))</x:f>
        <x:v>OK</x:v>
      </x:c>
    </x:row>
    <x:row r="75" ht="18" customHeight="1">
      <x:c r="A75" s="7" t="s">
        <x:v>18</x:v>
      </x:c>
      <x:c r="B75" s="7">
        <x:v>23</x:v>
      </x:c>
      <x:c r="C75" s="8">
        <x:v>45952</x:v>
      </x:c>
      <x:c r="D75" s="7" t="s">
        <x:v>37</x:v>
      </x:c>
      <x:c r="E75" s="9">
        <x:v>20</x:v>
      </x:c>
      <x:c r="F75" s="7" t="s">
        <x:v>23</x:v>
      </x:c>
      <x:c r="G75" s="10">
        <x:v>50</x:v>
      </x:c>
      <x:c r="H75" s="7" t="s">
        <x:v>28</x:v>
      </x:c>
      <x:c r="I75" s="10">
        <x:v>2</x:v>
      </x:c>
      <x:c r="J75" t="str">
        <x:f>IF(A75="","", "SAMP-"&amp;A75&amp;"-L"&amp;TEXT(B75,"00")&amp;"-"&amp;TEXT(C75,"yyyymmdd")&amp;"-"&amp;D75&amp;"-H"&amp;TEXT(E75,"00")&amp;"-"&amp;H75)</x:f>
        <x:v>SAMP-KG01-L23-20251022-ORD-2025-00093-H20-Blister</x:v>
      </x:c>
      <x:c r="K75" t="str">
        <x:f>IF(A75="","",IF(AND(G75&gt;=0,I75&gt;=0,I75&lt;=G75),"OK","CHECK"))</x:f>
        <x:v>OK</x:v>
      </x:c>
      <x:c r="L75" t="str">
        <x:f>IF(A75="","",IF(AND(E75&gt;=0,E75&lt;=23),"OK","CHECK"))</x:f>
        <x:v>OK</x:v>
      </x:c>
      <x:c r="M75" t="str">
        <x:f>IF(A75="","",IF(AND(K75="OK",L75="OK"),"OK","CHECK"))</x:f>
        <x:v>OK</x:v>
      </x:c>
    </x:row>
    <x:row r="76" ht="18" customHeight="1">
      <x:c r="A76" s="7" t="s">
        <x:v>18</x:v>
      </x:c>
      <x:c r="B76" s="7">
        <x:v>23</x:v>
      </x:c>
      <x:c r="C76" s="8">
        <x:v>45952</x:v>
      </x:c>
      <x:c r="D76" s="7" t="s">
        <x:v>37</x:v>
      </x:c>
      <x:c r="E76" s="9">
        <x:v>23</x:v>
      </x:c>
      <x:c r="F76" s="7" t="s">
        <x:v>23</x:v>
      </x:c>
      <x:c r="G76" s="10">
        <x:v>150</x:v>
      </x:c>
      <x:c r="H76" s="7" t="s">
        <x:v>28</x:v>
      </x:c>
      <x:c r="I76" s="10">
        <x:v>2</x:v>
      </x:c>
      <x:c r="J76" t="str">
        <x:f>IF(A76="","", "SAMP-"&amp;A76&amp;"-L"&amp;TEXT(B76,"00")&amp;"-"&amp;TEXT(C76,"yyyymmdd")&amp;"-"&amp;D76&amp;"-H"&amp;TEXT(E76,"00")&amp;"-"&amp;H76)</x:f>
        <x:v>SAMP-KG01-L23-20251022-ORD-2025-00093-H23-Blister</x:v>
      </x:c>
      <x:c r="K76" t="str">
        <x:f>IF(A76="","",IF(AND(G76&gt;=0,I76&gt;=0,I76&lt;=G76),"OK","CHECK"))</x:f>
        <x:v>OK</x:v>
      </x:c>
      <x:c r="L76" t="str">
        <x:f>IF(A76="","",IF(AND(E76&gt;=0,E76&lt;=23),"OK","CHECK"))</x:f>
        <x:v>OK</x:v>
      </x:c>
      <x:c r="M76" t="str">
        <x:f>IF(A76="","",IF(AND(K76="OK",L76="OK"),"OK","CHECK"))</x:f>
        <x:v>OK</x:v>
      </x:c>
    </x:row>
    <x:row r="77" ht="18" customHeight="1">
      <x:c r="A77" s="7" t="s">
        <x:v>18</x:v>
      </x:c>
      <x:c r="B77" s="7">
        <x:v>23</x:v>
      </x:c>
      <x:c r="C77" s="8">
        <x:v>45953</x:v>
      </x:c>
      <x:c r="D77" s="7" t="s">
        <x:v>37</x:v>
      </x:c>
      <x:c r="E77" s="9">
        <x:v>9</x:v>
      </x:c>
      <x:c r="F77" s="7" t="s">
        <x:v>20</x:v>
      </x:c>
      <x:c r="G77" s="10">
        <x:v>100</x:v>
      </x:c>
      <x:c r="H77" s="7" t="s">
        <x:v>21</x:v>
      </x:c>
      <x:c r="I77" s="10">
        <x:v>4</x:v>
      </x:c>
      <x:c r="J77" t="str">
        <x:f>IF(A77="","", "SAMP-"&amp;A77&amp;"-L"&amp;TEXT(B77,"00")&amp;"-"&amp;TEXT(C77,"yyyymmdd")&amp;"-"&amp;D77&amp;"-H"&amp;TEXT(E77,"00")&amp;"-"&amp;H77)</x:f>
        <x:v>SAMP-KG01-L23-20251023-ORD-2025-00093-H09-Choke Neck</x:v>
      </x:c>
      <x:c r="K77" t="str">
        <x:f>IF(A77="","",IF(AND(G77&gt;=0,I77&gt;=0,I77&lt;=G77),"OK","CHECK"))</x:f>
        <x:v>OK</x:v>
      </x:c>
      <x:c r="L77" t="str">
        <x:f>IF(A77="","",IF(AND(E77&gt;=0,E77&lt;=23),"OK","CHECK"))</x:f>
        <x:v>OK</x:v>
      </x:c>
      <x:c r="M77" t="str">
        <x:f>IF(A77="","",IF(AND(K77="OK",L77="OK"),"OK","CHECK"))</x:f>
        <x:v>OK</x:v>
      </x:c>
    </x:row>
    <x:row r="78" ht="18" customHeight="1">
      <x:c r="A78" s="7" t="s">
        <x:v>18</x:v>
      </x:c>
      <x:c r="B78" s="7">
        <x:v>23</x:v>
      </x:c>
      <x:c r="C78" s="8">
        <x:v>45953</x:v>
      </x:c>
      <x:c r="D78" s="7" t="s">
        <x:v>37</x:v>
      </x:c>
      <x:c r="E78" s="9">
        <x:v>15</x:v>
      </x:c>
      <x:c r="F78" s="7" t="s">
        <x:v>20</x:v>
      </x:c>
      <x:c r="G78" s="10">
        <x:v>150</x:v>
      </x:c>
      <x:c r="H78" s="7" t="s">
        <x:v>33</x:v>
      </x:c>
      <x:c r="I78" s="10">
        <x:v>2</x:v>
      </x:c>
      <x:c r="J78" t="str">
        <x:f>IF(A78="","", "SAMP-"&amp;A78&amp;"-L"&amp;TEXT(B78,"00")&amp;"-"&amp;TEXT(C78,"yyyymmdd")&amp;"-"&amp;D78&amp;"-H"&amp;TEXT(E78,"00")&amp;"-"&amp;H78)</x:f>
        <x:v>SAMP-KG01-L23-20251023-ORD-2025-00093-H15-Chip</x:v>
      </x:c>
      <x:c r="K78" t="str">
        <x:f>IF(A78="","",IF(AND(G78&gt;=0,I78&gt;=0,I78&lt;=G78),"OK","CHECK"))</x:f>
        <x:v>OK</x:v>
      </x:c>
      <x:c r="L78" t="str">
        <x:f>IF(A78="","",IF(AND(E78&gt;=0,E78&lt;=23),"OK","CHECK"))</x:f>
        <x:v>OK</x:v>
      </x:c>
      <x:c r="M78" t="str">
        <x:f>IF(A78="","",IF(AND(K78="OK",L78="OK"),"OK","CHECK"))</x:f>
        <x:v>OK</x:v>
      </x:c>
    </x:row>
    <x:row r="79" ht="18" customHeight="1">
      <x:c r="A79" s="7" t="s">
        <x:v>18</x:v>
      </x:c>
      <x:c r="B79" s="7">
        <x:v>23</x:v>
      </x:c>
      <x:c r="C79" s="8">
        <x:v>45953</x:v>
      </x:c>
      <x:c r="D79" s="7" t="s">
        <x:v>37</x:v>
      </x:c>
      <x:c r="E79" s="9">
        <x:v>20</x:v>
      </x:c>
      <x:c r="F79" s="7" t="s">
        <x:v>23</x:v>
      </x:c>
      <x:c r="G79" s="10">
        <x:v>50</x:v>
      </x:c>
      <x:c r="H79" s="7" t="s">
        <x:v>22</x:v>
      </x:c>
      <x:c r="I79" s="10">
        <x:v>1</x:v>
      </x:c>
      <x:c r="J79" t="str">
        <x:f>IF(A79="","", "SAMP-"&amp;A79&amp;"-L"&amp;TEXT(B79,"00")&amp;"-"&amp;TEXT(C79,"yyyymmdd")&amp;"-"&amp;D79&amp;"-H"&amp;TEXT(E79,"00")&amp;"-"&amp;H79)</x:f>
        <x:v>SAMP-KG01-L23-20251023-ORD-2025-00093-H20-Overpress</x:v>
      </x:c>
      <x:c r="K79" t="str">
        <x:f>IF(A79="","",IF(AND(G79&gt;=0,I79&gt;=0,I79&lt;=G79),"OK","CHECK"))</x:f>
        <x:v>OK</x:v>
      </x:c>
      <x:c r="L79" t="str">
        <x:f>IF(A79="","",IF(AND(E79&gt;=0,E79&lt;=23),"OK","CHECK"))</x:f>
        <x:v>OK</x:v>
      </x:c>
      <x:c r="M79" t="str">
        <x:f>IF(A79="","",IF(AND(K79="OK",L79="OK"),"OK","CHECK"))</x:f>
        <x:v>OK</x:v>
      </x:c>
    </x:row>
    <x:row r="80" ht="18" customHeight="1">
      <x:c r="A80" s="7" t="s">
        <x:v>18</x:v>
      </x:c>
      <x:c r="B80" s="7">
        <x:v>23</x:v>
      </x:c>
      <x:c r="C80" s="8">
        <x:v>45953</x:v>
      </x:c>
      <x:c r="D80" s="7" t="s">
        <x:v>37</x:v>
      </x:c>
      <x:c r="E80" s="9">
        <x:v>23</x:v>
      </x:c>
      <x:c r="F80" s="7" t="s">
        <x:v>23</x:v>
      </x:c>
      <x:c r="G80" s="10">
        <x:v>200</x:v>
      </x:c>
      <x:c r="H80" s="7" t="s">
        <x:v>25</x:v>
      </x:c>
      <x:c r="I80" s="10">
        <x:v>4</x:v>
      </x:c>
      <x:c r="J80" t="str">
        <x:f>IF(A80="","", "SAMP-"&amp;A80&amp;"-L"&amp;TEXT(B80,"00")&amp;"-"&amp;TEXT(C80,"yyyymmdd")&amp;"-"&amp;D80&amp;"-H"&amp;TEXT(E80,"00")&amp;"-"&amp;H80)</x:f>
        <x:v>SAMP-KG01-L23-20251023-ORD-2025-00093-H23-Distortion</x:v>
      </x:c>
      <x:c r="K80" t="str">
        <x:f>IF(A80="","",IF(AND(G80&gt;=0,I80&gt;=0,I80&lt;=G80),"OK","CHECK"))</x:f>
        <x:v>OK</x:v>
      </x:c>
      <x:c r="L80" t="str">
        <x:f>IF(A80="","",IF(AND(E80&gt;=0,E80&lt;=23),"OK","CHECK"))</x:f>
        <x:v>OK</x:v>
      </x:c>
      <x:c r="M80" t="str">
        <x:f>IF(A80="","",IF(AND(K80="OK",L80="OK"),"OK","CHECK"))</x:f>
        <x:v>OK</x:v>
      </x:c>
    </x:row>
    <x:row r="81" ht="18" customHeight="1">
      <x:c r="A81" s="7" t="s">
        <x:v>18</x:v>
      </x:c>
      <x:c r="B81" s="7">
        <x:v>23</x:v>
      </x:c>
      <x:c r="C81" s="8">
        <x:v>45954</x:v>
      </x:c>
      <x:c r="D81" s="7" t="s">
        <x:v>37</x:v>
      </x:c>
      <x:c r="E81" s="9">
        <x:v>9</x:v>
      </x:c>
      <x:c r="F81" s="7" t="s">
        <x:v>20</x:v>
      </x:c>
      <x:c r="G81" s="10">
        <x:v>200</x:v>
      </x:c>
      <x:c r="H81" s="7" t="s">
        <x:v>25</x:v>
      </x:c>
      <x:c r="I81" s="10">
        <x:v>6</x:v>
      </x:c>
      <x:c r="J81" t="str">
        <x:f>IF(A81="","", "SAMP-"&amp;A81&amp;"-L"&amp;TEXT(B81,"00")&amp;"-"&amp;TEXT(C81,"yyyymmdd")&amp;"-"&amp;D81&amp;"-H"&amp;TEXT(E81,"00")&amp;"-"&amp;H81)</x:f>
        <x:v>SAMP-KG01-L23-20251024-ORD-2025-00093-H09-Distortion</x:v>
      </x:c>
      <x:c r="K81" t="str">
        <x:f>IF(A81="","",IF(AND(G81&gt;=0,I81&gt;=0,I81&lt;=G81),"OK","CHECK"))</x:f>
        <x:v>OK</x:v>
      </x:c>
      <x:c r="L81" t="str">
        <x:f>IF(A81="","",IF(AND(E81&gt;=0,E81&lt;=23),"OK","CHECK"))</x:f>
        <x:v>OK</x:v>
      </x:c>
      <x:c r="M81" t="str">
        <x:f>IF(A81="","",IF(AND(K81="OK",L81="OK"),"OK","CHECK"))</x:f>
        <x:v>OK</x:v>
      </x:c>
    </x:row>
    <x:row r="82" ht="18" customHeight="1">
      <x:c r="A82" s="7" t="s">
        <x:v>18</x:v>
      </x:c>
      <x:c r="B82" s="7">
        <x:v>23</x:v>
      </x:c>
      <x:c r="C82" s="8">
        <x:v>45954</x:v>
      </x:c>
      <x:c r="D82" s="7" t="s">
        <x:v>37</x:v>
      </x:c>
      <x:c r="E82" s="9">
        <x:v>15</x:v>
      </x:c>
      <x:c r="F82" s="7" t="s">
        <x:v>20</x:v>
      </x:c>
      <x:c r="G82" s="10">
        <x:v>100</x:v>
      </x:c>
      <x:c r="H82" s="7" t="s">
        <x:v>25</x:v>
      </x:c>
      <x:c r="I82" s="10">
        <x:v>3</x:v>
      </x:c>
      <x:c r="J82" t="str">
        <x:f>IF(A82="","", "SAMP-"&amp;A82&amp;"-L"&amp;TEXT(B82,"00")&amp;"-"&amp;TEXT(C82,"yyyymmdd")&amp;"-"&amp;D82&amp;"-H"&amp;TEXT(E82,"00")&amp;"-"&amp;H82)</x:f>
        <x:v>SAMP-KG01-L23-20251024-ORD-2025-00093-H15-Distortion</x:v>
      </x:c>
      <x:c r="K82" t="str">
        <x:f>IF(A82="","",IF(AND(G82&gt;=0,I82&gt;=0,I82&lt;=G82),"OK","CHECK"))</x:f>
        <x:v>OK</x:v>
      </x:c>
      <x:c r="L82" t="str">
        <x:f>IF(A82="","",IF(AND(E82&gt;=0,E82&lt;=23),"OK","CHECK"))</x:f>
        <x:v>OK</x:v>
      </x:c>
      <x:c r="M82" t="str">
        <x:f>IF(A82="","",IF(AND(K82="OK",L82="OK"),"OK","CHECK"))</x:f>
        <x:v>OK</x:v>
      </x:c>
    </x:row>
    <x:row r="83" ht="18" customHeight="1">
      <x:c r="A83" s="7" t="s">
        <x:v>18</x:v>
      </x:c>
      <x:c r="B83" s="7">
        <x:v>23</x:v>
      </x:c>
      <x:c r="C83" s="8">
        <x:v>45954</x:v>
      </x:c>
      <x:c r="D83" s="7" t="s">
        <x:v>37</x:v>
      </x:c>
      <x:c r="E83" s="9">
        <x:v>20</x:v>
      </x:c>
      <x:c r="F83" s="7" t="s">
        <x:v>23</x:v>
      </x:c>
      <x:c r="G83" s="10">
        <x:v>200</x:v>
      </x:c>
      <x:c r="H83" s="7" t="s">
        <x:v>22</x:v>
      </x:c>
      <x:c r="I83" s="10">
        <x:v>0</x:v>
      </x:c>
      <x:c r="J83" t="str">
        <x:f>IF(A83="","", "SAMP-"&amp;A83&amp;"-L"&amp;TEXT(B83,"00")&amp;"-"&amp;TEXT(C83,"yyyymmdd")&amp;"-"&amp;D83&amp;"-H"&amp;TEXT(E83,"00")&amp;"-"&amp;H83)</x:f>
        <x:v>SAMP-KG01-L23-20251024-ORD-2025-00093-H20-Overpress</x:v>
      </x:c>
      <x:c r="K83" t="str">
        <x:f>IF(A83="","",IF(AND(G83&gt;=0,I83&gt;=0,I83&lt;=G83),"OK","CHECK"))</x:f>
        <x:v>OK</x:v>
      </x:c>
      <x:c r="L83" t="str">
        <x:f>IF(A83="","",IF(AND(E83&gt;=0,E83&lt;=23),"OK","CHECK"))</x:f>
        <x:v>OK</x:v>
      </x:c>
      <x:c r="M83" t="str">
        <x:f>IF(A83="","",IF(AND(K83="OK",L83="OK"),"OK","CHECK"))</x:f>
        <x:v>OK</x:v>
      </x:c>
    </x:row>
    <x:row r="84" ht="18" customHeight="1">
      <x:c r="A84" s="7" t="s">
        <x:v>18</x:v>
      </x:c>
      <x:c r="B84" s="7">
        <x:v>23</x:v>
      </x:c>
      <x:c r="C84" s="8">
        <x:v>45954</x:v>
      </x:c>
      <x:c r="D84" s="7" t="s">
        <x:v>37</x:v>
      </x:c>
      <x:c r="E84" s="9">
        <x:v>23</x:v>
      </x:c>
      <x:c r="F84" s="7" t="s">
        <x:v>23</x:v>
      </x:c>
      <x:c r="G84" s="10">
        <x:v>100</x:v>
      </x:c>
      <x:c r="H84" s="7" t="s">
        <x:v>25</x:v>
      </x:c>
      <x:c r="I84" s="10">
        <x:v>2</x:v>
      </x:c>
      <x:c r="J84" t="str">
        <x:f>IF(A84="","", "SAMP-"&amp;A84&amp;"-L"&amp;TEXT(B84,"00")&amp;"-"&amp;TEXT(C84,"yyyymmdd")&amp;"-"&amp;D84&amp;"-H"&amp;TEXT(E84,"00")&amp;"-"&amp;H84)</x:f>
        <x:v>SAMP-KG01-L23-20251024-ORD-2025-00093-H23-Distortion</x:v>
      </x:c>
      <x:c r="K84" t="str">
        <x:f>IF(A84="","",IF(AND(G84&gt;=0,I84&gt;=0,I84&lt;=G84),"OK","CHECK"))</x:f>
        <x:v>OK</x:v>
      </x:c>
      <x:c r="L84" t="str">
        <x:f>IF(A84="","",IF(AND(E84&gt;=0,E84&lt;=23),"OK","CHECK"))</x:f>
        <x:v>OK</x:v>
      </x:c>
      <x:c r="M84" t="str">
        <x:f>IF(A84="","",IF(AND(K84="OK",L84="OK"),"OK","CHECK"))</x:f>
        <x:v>OK</x:v>
      </x:c>
    </x:row>
    <x:row r="85" ht="18" customHeight="1">
      <x:c r="A85" s="7" t="s">
        <x:v>18</x:v>
      </x:c>
      <x:c r="B85" s="7">
        <x:v>23</x:v>
      </x:c>
      <x:c r="C85" s="8">
        <x:v>45955</x:v>
      </x:c>
      <x:c r="D85" s="7" t="s">
        <x:v>37</x:v>
      </x:c>
      <x:c r="E85" s="9">
        <x:v>9</x:v>
      </x:c>
      <x:c r="F85" s="7" t="s">
        <x:v>20</x:v>
      </x:c>
      <x:c r="G85" s="10">
        <x:v>50</x:v>
      </x:c>
      <x:c r="H85" s="7" t="s">
        <x:v>22</x:v>
      </x:c>
      <x:c r="I85" s="10">
        <x:v>1</x:v>
      </x:c>
      <x:c r="J85" t="str">
        <x:f>IF(A85="","", "SAMP-"&amp;A85&amp;"-L"&amp;TEXT(B85,"00")&amp;"-"&amp;TEXT(C85,"yyyymmdd")&amp;"-"&amp;D85&amp;"-H"&amp;TEXT(E85,"00")&amp;"-"&amp;H85)</x:f>
        <x:v>SAMP-KG01-L23-20251025-ORD-2025-00093-H09-Overpress</x:v>
      </x:c>
      <x:c r="K85" t="str">
        <x:f>IF(A85="","",IF(AND(G85&gt;=0,I85&gt;=0,I85&lt;=G85),"OK","CHECK"))</x:f>
        <x:v>OK</x:v>
      </x:c>
      <x:c r="L85" t="str">
        <x:f>IF(A85="","",IF(AND(E85&gt;=0,E85&lt;=23),"OK","CHECK"))</x:f>
        <x:v>OK</x:v>
      </x:c>
      <x:c r="M85" t="str">
        <x:f>IF(A85="","",IF(AND(K85="OK",L85="OK"),"OK","CHECK"))</x:f>
        <x:v>OK</x:v>
      </x:c>
    </x:row>
    <x:row r="86" ht="18" customHeight="1">
      <x:c r="A86" s="7" t="s">
        <x:v>18</x:v>
      </x:c>
      <x:c r="B86" s="7">
        <x:v>23</x:v>
      </x:c>
      <x:c r="C86" s="8">
        <x:v>45955</x:v>
      </x:c>
      <x:c r="D86" s="7" t="s">
        <x:v>37</x:v>
      </x:c>
      <x:c r="E86" s="9">
        <x:v>15</x:v>
      </x:c>
      <x:c r="F86" s="7" t="s">
        <x:v>20</x:v>
      </x:c>
      <x:c r="G86" s="10">
        <x:v>150</x:v>
      </x:c>
      <x:c r="H86" s="7" t="s">
        <x:v>30</x:v>
      </x:c>
      <x:c r="I86" s="10">
        <x:v>6</x:v>
      </x:c>
      <x:c r="J86" t="str">
        <x:f>IF(A86="","", "SAMP-"&amp;A86&amp;"-L"&amp;TEXT(B86,"00")&amp;"-"&amp;TEXT(C86,"yyyymmdd")&amp;"-"&amp;D86&amp;"-H"&amp;TEXT(E86,"00")&amp;"-"&amp;H86)</x:f>
        <x:v>SAMP-KG01-L23-20251025-ORD-2025-00093-H15-Crack</x:v>
      </x:c>
      <x:c r="K86" t="str">
        <x:f>IF(A86="","",IF(AND(G86&gt;=0,I86&gt;=0,I86&lt;=G86),"OK","CHECK"))</x:f>
        <x:v>OK</x:v>
      </x:c>
      <x:c r="L86" t="str">
        <x:f>IF(A86="","",IF(AND(E86&gt;=0,E86&lt;=23),"OK","CHECK"))</x:f>
        <x:v>OK</x:v>
      </x:c>
      <x:c r="M86" t="str">
        <x:f>IF(A86="","",IF(AND(K86="OK",L86="OK"),"OK","CHECK"))</x:f>
        <x:v>OK</x:v>
      </x:c>
    </x:row>
    <x:row r="87" ht="18" customHeight="1">
      <x:c r="A87" s="7" t="s">
        <x:v>18</x:v>
      </x:c>
      <x:c r="B87" s="7">
        <x:v>23</x:v>
      </x:c>
      <x:c r="C87" s="8">
        <x:v>45955</x:v>
      </x:c>
      <x:c r="D87" s="7" t="s">
        <x:v>37</x:v>
      </x:c>
      <x:c r="E87" s="9">
        <x:v>20</x:v>
      </x:c>
      <x:c r="F87" s="7" t="s">
        <x:v>23</x:v>
      </x:c>
      <x:c r="G87" s="10">
        <x:v>150</x:v>
      </x:c>
      <x:c r="H87" s="7" t="s">
        <x:v>29</x:v>
      </x:c>
      <x:c r="I87" s="10">
        <x:v>3</x:v>
      </x:c>
      <x:c r="J87" t="str">
        <x:f>IF(A87="","", "SAMP-"&amp;A87&amp;"-L"&amp;TEXT(B87,"00")&amp;"-"&amp;TEXT(C87,"yyyymmdd")&amp;"-"&amp;D87&amp;"-H"&amp;TEXT(E87,"00")&amp;"-"&amp;H87)</x:f>
        <x:v>SAMP-KG01-L23-20251025-ORD-2025-00093-H20-Bird Swing</x:v>
      </x:c>
      <x:c r="K87" t="str">
        <x:f>IF(A87="","",IF(AND(G87&gt;=0,I87&gt;=0,I87&lt;=G87),"OK","CHECK"))</x:f>
        <x:v>OK</x:v>
      </x:c>
      <x:c r="L87" t="str">
        <x:f>IF(A87="","",IF(AND(E87&gt;=0,E87&lt;=23),"OK","CHECK"))</x:f>
        <x:v>OK</x:v>
      </x:c>
      <x:c r="M87" t="str">
        <x:f>IF(A87="","",IF(AND(K87="OK",L87="OK"),"OK","CHECK"))</x:f>
        <x:v>OK</x:v>
      </x:c>
    </x:row>
    <x:row r="88" ht="18" customHeight="1">
      <x:c r="A88" s="7" t="s">
        <x:v>18</x:v>
      </x:c>
      <x:c r="B88" s="7">
        <x:v>23</x:v>
      </x:c>
      <x:c r="C88" s="8">
        <x:v>45955</x:v>
      </x:c>
      <x:c r="D88" s="7" t="s">
        <x:v>37</x:v>
      </x:c>
      <x:c r="E88" s="9">
        <x:v>23</x:v>
      </x:c>
      <x:c r="F88" s="7" t="s">
        <x:v>23</x:v>
      </x:c>
      <x:c r="G88" s="10">
        <x:v>100</x:v>
      </x:c>
      <x:c r="H88" s="7" t="s">
        <x:v>33</x:v>
      </x:c>
      <x:c r="I88" s="10">
        <x:v>2</x:v>
      </x:c>
      <x:c r="J88" t="str">
        <x:f>IF(A88="","", "SAMP-"&amp;A88&amp;"-L"&amp;TEXT(B88,"00")&amp;"-"&amp;TEXT(C88,"yyyymmdd")&amp;"-"&amp;D88&amp;"-H"&amp;TEXT(E88,"00")&amp;"-"&amp;H88)</x:f>
        <x:v>SAMP-KG01-L23-20251025-ORD-2025-00093-H23-Chip</x:v>
      </x:c>
      <x:c r="K88" t="str">
        <x:f>IF(A88="","",IF(AND(G88&gt;=0,I88&gt;=0,I88&lt;=G88),"OK","CHECK"))</x:f>
        <x:v>OK</x:v>
      </x:c>
      <x:c r="L88" t="str">
        <x:f>IF(A88="","",IF(AND(E88&gt;=0,E88&lt;=23),"OK","CHECK"))</x:f>
        <x:v>OK</x:v>
      </x:c>
      <x:c r="M88" t="str">
        <x:f>IF(A88="","",IF(AND(K88="OK",L88="OK"),"OK","CHECK"))</x:f>
        <x:v>OK</x:v>
      </x:c>
    </x:row>
    <x:row r="89" ht="18" customHeight="1">
      <x:c r="A89" s="7" t="s">
        <x:v>18</x:v>
      </x:c>
      <x:c r="B89" s="7">
        <x:v>23</x:v>
      </x:c>
      <x:c r="C89" s="8">
        <x:v>45956</x:v>
      </x:c>
      <x:c r="D89" s="7" t="s">
        <x:v>38</x:v>
      </x:c>
      <x:c r="E89" s="9">
        <x:v>7</x:v>
      </x:c>
      <x:c r="F89" s="7" t="s">
        <x:v>20</x:v>
      </x:c>
      <x:c r="G89" s="10">
        <x:v>200</x:v>
      </x:c>
      <x:c r="H89" s="7" t="s">
        <x:v>22</x:v>
      </x:c>
      <x:c r="I89" s="10">
        <x:v>17</x:v>
      </x:c>
      <x:c r="J89" t="str">
        <x:f>IF(A89="","", "SAMP-"&amp;A89&amp;"-L"&amp;TEXT(B89,"00")&amp;"-"&amp;TEXT(C89,"yyyymmdd")&amp;"-"&amp;D89&amp;"-H"&amp;TEXT(E89,"00")&amp;"-"&amp;H89)</x:f>
        <x:v>SAMP-KG01-L23-20251026-ORD-2025-00094-H07-Overpress</x:v>
      </x:c>
      <x:c r="K89" t="str">
        <x:f>IF(A89="","",IF(AND(G89&gt;=0,I89&gt;=0,I89&lt;=G89),"OK","CHECK"))</x:f>
        <x:v>OK</x:v>
      </x:c>
      <x:c r="L89" t="str">
        <x:f>IF(A89="","",IF(AND(E89&gt;=0,E89&lt;=23),"OK","CHECK"))</x:f>
        <x:v>OK</x:v>
      </x:c>
      <x:c r="M89" t="str">
        <x:f>IF(A89="","",IF(AND(K89="OK",L89="OK"),"OK","CHECK"))</x:f>
        <x:v>OK</x:v>
      </x:c>
    </x:row>
    <x:row r="90" ht="18" customHeight="1">
      <x:c r="A90" s="7" t="s">
        <x:v>18</x:v>
      </x:c>
      <x:c r="B90" s="7">
        <x:v>23</x:v>
      </x:c>
      <x:c r="C90" s="8">
        <x:v>45956</x:v>
      </x:c>
      <x:c r="D90" s="7" t="s">
        <x:v>38</x:v>
      </x:c>
      <x:c r="E90" s="9">
        <x:v>12</x:v>
      </x:c>
      <x:c r="F90" s="7" t="s">
        <x:v>20</x:v>
      </x:c>
      <x:c r="G90" s="10">
        <x:v>150</x:v>
      </x:c>
      <x:c r="H90" s="7" t="s">
        <x:v>30</x:v>
      </x:c>
      <x:c r="I90" s="10">
        <x:v>11</x:v>
      </x:c>
      <x:c r="J90" t="str">
        <x:f>IF(A90="","", "SAMP-"&amp;A90&amp;"-L"&amp;TEXT(B90,"00")&amp;"-"&amp;TEXT(C90,"yyyymmdd")&amp;"-"&amp;D90&amp;"-H"&amp;TEXT(E90,"00")&amp;"-"&amp;H90)</x:f>
        <x:v>SAMP-KG01-L23-20251026-ORD-2025-00094-H12-Crack</x:v>
      </x:c>
      <x:c r="K90" t="str">
        <x:f>IF(A90="","",IF(AND(G90&gt;=0,I90&gt;=0,I90&lt;=G90),"OK","CHECK"))</x:f>
        <x:v>OK</x:v>
      </x:c>
      <x:c r="L90" t="str">
        <x:f>IF(A90="","",IF(AND(E90&gt;=0,E90&lt;=23),"OK","CHECK"))</x:f>
        <x:v>OK</x:v>
      </x:c>
      <x:c r="M90" t="str">
        <x:f>IF(A90="","",IF(AND(K90="OK",L90="OK"),"OK","CHECK"))</x:f>
        <x:v>OK</x:v>
      </x:c>
    </x:row>
    <x:row r="91" ht="18" customHeight="1">
      <x:c r="A91" s="7" t="s">
        <x:v>18</x:v>
      </x:c>
      <x:c r="B91" s="7">
        <x:v>23</x:v>
      </x:c>
      <x:c r="C91" s="8">
        <x:v>45956</x:v>
      </x:c>
      <x:c r="D91" s="7" t="s">
        <x:v>38</x:v>
      </x:c>
      <x:c r="E91" s="9">
        <x:v>16</x:v>
      </x:c>
      <x:c r="F91" s="7" t="s">
        <x:v>20</x:v>
      </x:c>
      <x:c r="G91" s="10">
        <x:v>200</x:v>
      </x:c>
      <x:c r="H91" s="7" t="s">
        <x:v>29</x:v>
      </x:c>
      <x:c r="I91" s="10">
        <x:v>10</x:v>
      </x:c>
      <x:c r="J91" t="str">
        <x:f>IF(A91="","", "SAMP-"&amp;A91&amp;"-L"&amp;TEXT(B91,"00")&amp;"-"&amp;TEXT(C91,"yyyymmdd")&amp;"-"&amp;D91&amp;"-H"&amp;TEXT(E91,"00")&amp;"-"&amp;H91)</x:f>
        <x:v>SAMP-KG01-L23-20251026-ORD-2025-00094-H16-Bird Swing</x:v>
      </x:c>
      <x:c r="K91" t="str">
        <x:f>IF(A91="","",IF(AND(G91&gt;=0,I91&gt;=0,I91&lt;=G91),"OK","CHECK"))</x:f>
        <x:v>OK</x:v>
      </x:c>
      <x:c r="L91" t="str">
        <x:f>IF(A91="","",IF(AND(E91&gt;=0,E91&lt;=23),"OK","CHECK"))</x:f>
        <x:v>OK</x:v>
      </x:c>
      <x:c r="M91" t="str">
        <x:f>IF(A91="","",IF(AND(K91="OK",L91="OK"),"OK","CHECK"))</x:f>
        <x:v>OK</x:v>
      </x:c>
    </x:row>
    <x:row r="92" ht="18" customHeight="1">
      <x:c r="A92" s="7" t="s">
        <x:v>18</x:v>
      </x:c>
      <x:c r="B92" s="7">
        <x:v>23</x:v>
      </x:c>
      <x:c r="C92" s="8">
        <x:v>45956</x:v>
      </x:c>
      <x:c r="D92" s="7" t="s">
        <x:v>38</x:v>
      </x:c>
      <x:c r="E92" s="9">
        <x:v>20</x:v>
      </x:c>
      <x:c r="F92" s="7" t="s">
        <x:v>23</x:v>
      </x:c>
      <x:c r="G92" s="10">
        <x:v>200</x:v>
      </x:c>
      <x:c r="H92" s="7" t="s">
        <x:v>22</x:v>
      </x:c>
      <x:c r="I92" s="10">
        <x:v>7</x:v>
      </x:c>
      <x:c r="J92" t="str">
        <x:f>IF(A92="","", "SAMP-"&amp;A92&amp;"-L"&amp;TEXT(B92,"00")&amp;"-"&amp;TEXT(C92,"yyyymmdd")&amp;"-"&amp;D92&amp;"-H"&amp;TEXT(E92,"00")&amp;"-"&amp;H92)</x:f>
        <x:v>SAMP-KG01-L23-20251026-ORD-2025-00094-H20-Overpress</x:v>
      </x:c>
      <x:c r="K92" t="str">
        <x:f>IF(A92="","",IF(AND(G92&gt;=0,I92&gt;=0,I92&lt;=G92),"OK","CHECK"))</x:f>
        <x:v>OK</x:v>
      </x:c>
      <x:c r="L92" t="str">
        <x:f>IF(A92="","",IF(AND(E92&gt;=0,E92&lt;=23),"OK","CHECK"))</x:f>
        <x:v>OK</x:v>
      </x:c>
      <x:c r="M92" t="str">
        <x:f>IF(A92="","",IF(AND(K92="OK",L92="OK"),"OK","CHECK"))</x:f>
        <x:v>OK</x:v>
      </x:c>
    </x:row>
    <x:row r="93" ht="18" customHeight="1">
      <x:c r="A93" s="7" t="s">
        <x:v>18</x:v>
      </x:c>
      <x:c r="B93" s="7">
        <x:v>23</x:v>
      </x:c>
      <x:c r="C93" s="8">
        <x:v>45956</x:v>
      </x:c>
      <x:c r="D93" s="7" t="s">
        <x:v>38</x:v>
      </x:c>
      <x:c r="E93" s="9">
        <x:v>23</x:v>
      </x:c>
      <x:c r="F93" s="7" t="s">
        <x:v>23</x:v>
      </x:c>
      <x:c r="G93" s="10">
        <x:v>100</x:v>
      </x:c>
      <x:c r="H93" s="7" t="s">
        <x:v>26</x:v>
      </x:c>
      <x:c r="I93" s="10">
        <x:v>2</x:v>
      </x:c>
      <x:c r="J93" t="str">
        <x:f>IF(A93="","", "SAMP-"&amp;A93&amp;"-L"&amp;TEXT(B93,"00")&amp;"-"&amp;TEXT(C93,"yyyymmdd")&amp;"-"&amp;D93&amp;"-H"&amp;TEXT(E93,"00")&amp;"-"&amp;H93)</x:f>
        <x:v>SAMP-KG01-L23-20251026-ORD-2025-00094-H23-Thin Wall</x:v>
      </x:c>
      <x:c r="K93" t="str">
        <x:f>IF(A93="","",IF(AND(G93&gt;=0,I93&gt;=0,I93&lt;=G93),"OK","CHECK"))</x:f>
        <x:v>OK</x:v>
      </x:c>
      <x:c r="L93" t="str">
        <x:f>IF(A93="","",IF(AND(E93&gt;=0,E93&lt;=23),"OK","CHECK"))</x:f>
        <x:v>OK</x:v>
      </x:c>
      <x:c r="M93" t="str">
        <x:f>IF(A93="","",IF(AND(K93="OK",L93="OK"),"OK","CHECK"))</x:f>
        <x:v>OK</x:v>
      </x:c>
    </x:row>
    <x:row r="94" ht="18" customHeight="1">
      <x:c r="A94" s="7" t="s">
        <x:v>18</x:v>
      </x:c>
      <x:c r="B94" s="7">
        <x:v>24</x:v>
      </x:c>
      <x:c r="C94" s="8">
        <x:v>45950</x:v>
      </x:c>
      <x:c r="D94" s="7" t="s">
        <x:v>39</x:v>
      </x:c>
      <x:c r="E94" s="9">
        <x:v>9</x:v>
      </x:c>
      <x:c r="F94" s="7" t="s">
        <x:v>20</x:v>
      </x:c>
      <x:c r="G94" s="10">
        <x:v>200</x:v>
      </x:c>
      <x:c r="H94" s="7" t="s">
        <x:v>28</x:v>
      </x:c>
      <x:c r="I94" s="10">
        <x:v>4</x:v>
      </x:c>
      <x:c r="J94" t="str">
        <x:f>IF(A94="","", "SAMP-"&amp;A94&amp;"-L"&amp;TEXT(B94,"00")&amp;"-"&amp;TEXT(C94,"yyyymmdd")&amp;"-"&amp;D94&amp;"-H"&amp;TEXT(E94,"00")&amp;"-"&amp;H94)</x:f>
        <x:v>SAMP-KG01-L24-20251020-ORD-2025-00124-H09-Blister</x:v>
      </x:c>
      <x:c r="K94" t="str">
        <x:f>IF(A94="","",IF(AND(G94&gt;=0,I94&gt;=0,I94&lt;=G94),"OK","CHECK"))</x:f>
        <x:v>OK</x:v>
      </x:c>
      <x:c r="L94" t="str">
        <x:f>IF(A94="","",IF(AND(E94&gt;=0,E94&lt;=23),"OK","CHECK"))</x:f>
        <x:v>OK</x:v>
      </x:c>
      <x:c r="M94" t="str">
        <x:f>IF(A94="","",IF(AND(K94="OK",L94="OK"),"OK","CHECK"))</x:f>
        <x:v>OK</x:v>
      </x:c>
    </x:row>
    <x:row r="95" ht="18" customHeight="1">
      <x:c r="A95" s="7" t="s">
        <x:v>18</x:v>
      </x:c>
      <x:c r="B95" s="7">
        <x:v>24</x:v>
      </x:c>
      <x:c r="C95" s="8">
        <x:v>45950</x:v>
      </x:c>
      <x:c r="D95" s="7" t="s">
        <x:v>39</x:v>
      </x:c>
      <x:c r="E95" s="9">
        <x:v>15</x:v>
      </x:c>
      <x:c r="F95" s="7" t="s">
        <x:v>20</x:v>
      </x:c>
      <x:c r="G95" s="10">
        <x:v>200</x:v>
      </x:c>
      <x:c r="H95" s="7" t="s">
        <x:v>30</x:v>
      </x:c>
      <x:c r="I95" s="10">
        <x:v>1</x:v>
      </x:c>
      <x:c r="J95" t="str">
        <x:f>IF(A95="","", "SAMP-"&amp;A95&amp;"-L"&amp;TEXT(B95,"00")&amp;"-"&amp;TEXT(C95,"yyyymmdd")&amp;"-"&amp;D95&amp;"-H"&amp;TEXT(E95,"00")&amp;"-"&amp;H95)</x:f>
        <x:v>SAMP-KG01-L24-20251020-ORD-2025-00124-H15-Crack</x:v>
      </x:c>
      <x:c r="K95" t="str">
        <x:f>IF(A95="","",IF(AND(G95&gt;=0,I95&gt;=0,I95&lt;=G95),"OK","CHECK"))</x:f>
        <x:v>OK</x:v>
      </x:c>
      <x:c r="L95" t="str">
        <x:f>IF(A95="","",IF(AND(E95&gt;=0,E95&lt;=23),"OK","CHECK"))</x:f>
        <x:v>OK</x:v>
      </x:c>
      <x:c r="M95" t="str">
        <x:f>IF(A95="","",IF(AND(K95="OK",L95="OK"),"OK","CHECK"))</x:f>
        <x:v>OK</x:v>
      </x:c>
    </x:row>
    <x:row r="96" ht="18" customHeight="1">
      <x:c r="A96" s="7" t="s">
        <x:v>18</x:v>
      </x:c>
      <x:c r="B96" s="7">
        <x:v>24</x:v>
      </x:c>
      <x:c r="C96" s="8">
        <x:v>45950</x:v>
      </x:c>
      <x:c r="D96" s="7" t="s">
        <x:v>39</x:v>
      </x:c>
      <x:c r="E96" s="9">
        <x:v>20</x:v>
      </x:c>
      <x:c r="F96" s="7" t="s">
        <x:v>23</x:v>
      </x:c>
      <x:c r="G96" s="10">
        <x:v>150</x:v>
      </x:c>
      <x:c r="H96" s="7" t="s">
        <x:v>26</x:v>
      </x:c>
      <x:c r="I96" s="10">
        <x:v>2</x:v>
      </x:c>
      <x:c r="J96" t="str">
        <x:f>IF(A96="","", "SAMP-"&amp;A96&amp;"-L"&amp;TEXT(B96,"00")&amp;"-"&amp;TEXT(C96,"yyyymmdd")&amp;"-"&amp;D96&amp;"-H"&amp;TEXT(E96,"00")&amp;"-"&amp;H96)</x:f>
        <x:v>SAMP-KG01-L24-20251020-ORD-2025-00124-H20-Thin Wall</x:v>
      </x:c>
      <x:c r="K96" t="str">
        <x:f>IF(A96="","",IF(AND(G96&gt;=0,I96&gt;=0,I96&lt;=G96),"OK","CHECK"))</x:f>
        <x:v>OK</x:v>
      </x:c>
      <x:c r="L96" t="str">
        <x:f>IF(A96="","",IF(AND(E96&gt;=0,E96&lt;=23),"OK","CHECK"))</x:f>
        <x:v>OK</x:v>
      </x:c>
      <x:c r="M96" t="str">
        <x:f>IF(A96="","",IF(AND(K96="OK",L96="OK"),"OK","CHECK"))</x:f>
        <x:v>OK</x:v>
      </x:c>
    </x:row>
    <x:row r="97" ht="18" customHeight="1">
      <x:c r="A97" s="7" t="s">
        <x:v>18</x:v>
      </x:c>
      <x:c r="B97" s="7">
        <x:v>24</x:v>
      </x:c>
      <x:c r="C97" s="8">
        <x:v>45950</x:v>
      </x:c>
      <x:c r="D97" s="7" t="s">
        <x:v>39</x:v>
      </x:c>
      <x:c r="E97" s="9">
        <x:v>23</x:v>
      </x:c>
      <x:c r="F97" s="7" t="s">
        <x:v>23</x:v>
      </x:c>
      <x:c r="G97" s="10">
        <x:v>150</x:v>
      </x:c>
      <x:c r="H97" s="7" t="s">
        <x:v>27</x:v>
      </x:c>
      <x:c r="I97" s="10">
        <x:v>3</x:v>
      </x:c>
      <x:c r="J97" t="str">
        <x:f>IF(A97="","", "SAMP-"&amp;A97&amp;"-L"&amp;TEXT(B97,"00")&amp;"-"&amp;TEXT(C97,"yyyymmdd")&amp;"-"&amp;D97&amp;"-H"&amp;TEXT(E97,"00")&amp;"-"&amp;H97)</x:f>
        <x:v>SAMP-KG01-L24-20251020-ORD-2025-00124-H23-Stone</x:v>
      </x:c>
      <x:c r="K97" t="str">
        <x:f>IF(A97="","",IF(AND(G97&gt;=0,I97&gt;=0,I97&lt;=G97),"OK","CHECK"))</x:f>
        <x:v>OK</x:v>
      </x:c>
      <x:c r="L97" t="str">
        <x:f>IF(A97="","",IF(AND(E97&gt;=0,E97&lt;=23),"OK","CHECK"))</x:f>
        <x:v>OK</x:v>
      </x:c>
      <x:c r="M97" t="str">
        <x:f>IF(A97="","",IF(AND(K97="OK",L97="OK"),"OK","CHECK"))</x:f>
        <x:v>OK</x:v>
      </x:c>
    </x:row>
    <x:row r="98" ht="18" customHeight="1">
      <x:c r="A98" s="7" t="s">
        <x:v>18</x:v>
      </x:c>
      <x:c r="B98" s="7">
        <x:v>24</x:v>
      </x:c>
      <x:c r="C98" s="8">
        <x:v>45951</x:v>
      </x:c>
      <x:c r="D98" s="7" t="s">
        <x:v>40</x:v>
      </x:c>
      <x:c r="E98" s="9">
        <x:v>9</x:v>
      </x:c>
      <x:c r="F98" s="7" t="s">
        <x:v>20</x:v>
      </x:c>
      <x:c r="G98" s="10">
        <x:v>50</x:v>
      </x:c>
      <x:c r="H98" s="7" t="s">
        <x:v>26</x:v>
      </x:c>
      <x:c r="I98" s="10">
        <x:v>1</x:v>
      </x:c>
      <x:c r="J98" t="str">
        <x:f>IF(A98="","", "SAMP-"&amp;A98&amp;"-L"&amp;TEXT(B98,"00")&amp;"-"&amp;TEXT(C98,"yyyymmdd")&amp;"-"&amp;D98&amp;"-H"&amp;TEXT(E98,"00")&amp;"-"&amp;H98)</x:f>
        <x:v>SAMP-KG01-L24-20251021-ORD-2025-00125-H09-Thin Wall</x:v>
      </x:c>
      <x:c r="K98" t="str">
        <x:f>IF(A98="","",IF(AND(G98&gt;=0,I98&gt;=0,I98&lt;=G98),"OK","CHECK"))</x:f>
        <x:v>OK</x:v>
      </x:c>
      <x:c r="L98" t="str">
        <x:f>IF(A98="","",IF(AND(E98&gt;=0,E98&lt;=23),"OK","CHECK"))</x:f>
        <x:v>OK</x:v>
      </x:c>
      <x:c r="M98" t="str">
        <x:f>IF(A98="","",IF(AND(K98="OK",L98="OK"),"OK","CHECK"))</x:f>
        <x:v>OK</x:v>
      </x:c>
    </x:row>
    <x:row r="99" ht="18" customHeight="1">
      <x:c r="A99" s="7" t="s">
        <x:v>18</x:v>
      </x:c>
      <x:c r="B99" s="7">
        <x:v>24</x:v>
      </x:c>
      <x:c r="C99" s="8">
        <x:v>45951</x:v>
      </x:c>
      <x:c r="D99" s="7" t="s">
        <x:v>40</x:v>
      </x:c>
      <x:c r="E99" s="9">
        <x:v>15</x:v>
      </x:c>
      <x:c r="F99" s="7" t="s">
        <x:v>20</x:v>
      </x:c>
      <x:c r="G99" s="10">
        <x:v>50</x:v>
      </x:c>
      <x:c r="H99" s="7" t="s">
        <x:v>22</x:v>
      </x:c>
      <x:c r="I99" s="10">
        <x:v>0</x:v>
      </x:c>
      <x:c r="J99" t="str">
        <x:f>IF(A99="","", "SAMP-"&amp;A99&amp;"-L"&amp;TEXT(B99,"00")&amp;"-"&amp;TEXT(C99,"yyyymmdd")&amp;"-"&amp;D99&amp;"-H"&amp;TEXT(E99,"00")&amp;"-"&amp;H99)</x:f>
        <x:v>SAMP-KG01-L24-20251021-ORD-2025-00125-H15-Overpress</x:v>
      </x:c>
      <x:c r="K99" t="str">
        <x:f>IF(A99="","",IF(AND(G99&gt;=0,I99&gt;=0,I99&lt;=G99),"OK","CHECK"))</x:f>
        <x:v>OK</x:v>
      </x:c>
      <x:c r="L99" t="str">
        <x:f>IF(A99="","",IF(AND(E99&gt;=0,E99&lt;=23),"OK","CHECK"))</x:f>
        <x:v>OK</x:v>
      </x:c>
      <x:c r="M99" t="str">
        <x:f>IF(A99="","",IF(AND(K99="OK",L99="OK"),"OK","CHECK"))</x:f>
        <x:v>OK</x:v>
      </x:c>
    </x:row>
    <x:row r="100" ht="18" customHeight="1">
      <x:c r="A100" s="7" t="s">
        <x:v>18</x:v>
      </x:c>
      <x:c r="B100" s="7">
        <x:v>24</x:v>
      </x:c>
      <x:c r="C100" s="8">
        <x:v>45951</x:v>
      </x:c>
      <x:c r="D100" s="7" t="s">
        <x:v>40</x:v>
      </x:c>
      <x:c r="E100" s="9">
        <x:v>20</x:v>
      </x:c>
      <x:c r="F100" s="7" t="s">
        <x:v>23</x:v>
      </x:c>
      <x:c r="G100" s="10">
        <x:v>50</x:v>
      </x:c>
      <x:c r="H100" s="7" t="s">
        <x:v>29</x:v>
      </x:c>
      <x:c r="I100" s="10">
        <x:v>2</x:v>
      </x:c>
      <x:c r="J100" t="str">
        <x:f>IF(A100="","", "SAMP-"&amp;A100&amp;"-L"&amp;TEXT(B100,"00")&amp;"-"&amp;TEXT(C100,"yyyymmdd")&amp;"-"&amp;D100&amp;"-H"&amp;TEXT(E100,"00")&amp;"-"&amp;H100)</x:f>
        <x:v>SAMP-KG01-L24-20251021-ORD-2025-00125-H20-Bird Swing</x:v>
      </x:c>
      <x:c r="K100" t="str">
        <x:f>IF(A100="","",IF(AND(G100&gt;=0,I100&gt;=0,I100&lt;=G100),"OK","CHECK"))</x:f>
        <x:v>OK</x:v>
      </x:c>
      <x:c r="L100" t="str">
        <x:f>IF(A100="","",IF(AND(E100&gt;=0,E100&lt;=23),"OK","CHECK"))</x:f>
        <x:v>OK</x:v>
      </x:c>
      <x:c r="M100" t="str">
        <x:f>IF(A100="","",IF(AND(K100="OK",L100="OK"),"OK","CHECK"))</x:f>
        <x:v>OK</x:v>
      </x:c>
    </x:row>
    <x:row r="101" ht="18" customHeight="1">
      <x:c r="A101" s="7" t="s">
        <x:v>18</x:v>
      </x:c>
      <x:c r="B101" s="7">
        <x:v>24</x:v>
      </x:c>
      <x:c r="C101" s="8">
        <x:v>45951</x:v>
      </x:c>
      <x:c r="D101" s="7" t="s">
        <x:v>40</x:v>
      </x:c>
      <x:c r="E101" s="9">
        <x:v>23</x:v>
      </x:c>
      <x:c r="F101" s="7" t="s">
        <x:v>23</x:v>
      </x:c>
      <x:c r="G101" s="10">
        <x:v>100</x:v>
      </x:c>
      <x:c r="H101" s="7" t="s">
        <x:v>33</x:v>
      </x:c>
      <x:c r="I101" s="10">
        <x:v>1</x:v>
      </x:c>
      <x:c r="J101" t="str">
        <x:f>IF(A101="","", "SAMP-"&amp;A101&amp;"-L"&amp;TEXT(B101,"00")&amp;"-"&amp;TEXT(C101,"yyyymmdd")&amp;"-"&amp;D101&amp;"-H"&amp;TEXT(E101,"00")&amp;"-"&amp;H101)</x:f>
        <x:v>SAMP-KG01-L24-20251021-ORD-2025-00125-H23-Chip</x:v>
      </x:c>
      <x:c r="K101" t="str">
        <x:f>IF(A101="","",IF(AND(G101&gt;=0,I101&gt;=0,I101&lt;=G101),"OK","CHECK"))</x:f>
        <x:v>OK</x:v>
      </x:c>
      <x:c r="L101" t="str">
        <x:f>IF(A101="","",IF(AND(E101&gt;=0,E101&lt;=23),"OK","CHECK"))</x:f>
        <x:v>OK</x:v>
      </x:c>
      <x:c r="M101" t="str">
        <x:f>IF(A101="","",IF(AND(K101="OK",L101="OK"),"OK","CHECK"))</x:f>
        <x:v>OK</x:v>
      </x:c>
    </x:row>
    <x:row r="102" ht="18" customHeight="1">
      <x:c r="A102" s="7" t="s">
        <x:v>18</x:v>
      </x:c>
      <x:c r="B102" s="7">
        <x:v>24</x:v>
      </x:c>
      <x:c r="C102" s="8">
        <x:v>45952</x:v>
      </x:c>
      <x:c r="D102" s="7" t="s">
        <x:v>40</x:v>
      </x:c>
      <x:c r="E102" s="9">
        <x:v>9</x:v>
      </x:c>
      <x:c r="F102" s="7" t="s">
        <x:v>20</x:v>
      </x:c>
      <x:c r="G102" s="10">
        <x:v>200</x:v>
      </x:c>
      <x:c r="H102" s="7" t="s">
        <x:v>30</x:v>
      </x:c>
      <x:c r="I102" s="10">
        <x:v>1</x:v>
      </x:c>
      <x:c r="J102" t="str">
        <x:f>IF(A102="","", "SAMP-"&amp;A102&amp;"-L"&amp;TEXT(B102,"00")&amp;"-"&amp;TEXT(C102,"yyyymmdd")&amp;"-"&amp;D102&amp;"-H"&amp;TEXT(E102,"00")&amp;"-"&amp;H102)</x:f>
        <x:v>SAMP-KG01-L24-20251022-ORD-2025-00125-H09-Crack</x:v>
      </x:c>
      <x:c r="K102" t="str">
        <x:f>IF(A102="","",IF(AND(G102&gt;=0,I102&gt;=0,I102&lt;=G102),"OK","CHECK"))</x:f>
        <x:v>OK</x:v>
      </x:c>
      <x:c r="L102" t="str">
        <x:f>IF(A102="","",IF(AND(E102&gt;=0,E102&lt;=23),"OK","CHECK"))</x:f>
        <x:v>OK</x:v>
      </x:c>
      <x:c r="M102" t="str">
        <x:f>IF(A102="","",IF(AND(K102="OK",L102="OK"),"OK","CHECK"))</x:f>
        <x:v>OK</x:v>
      </x:c>
    </x:row>
    <x:row r="103" ht="18" customHeight="1">
      <x:c r="A103" s="7" t="s">
        <x:v>18</x:v>
      </x:c>
      <x:c r="B103" s="7">
        <x:v>24</x:v>
      </x:c>
      <x:c r="C103" s="8">
        <x:v>45952</x:v>
      </x:c>
      <x:c r="D103" s="7" t="s">
        <x:v>40</x:v>
      </x:c>
      <x:c r="E103" s="9">
        <x:v>15</x:v>
      </x:c>
      <x:c r="F103" s="7" t="s">
        <x:v>20</x:v>
      </x:c>
      <x:c r="G103" s="10">
        <x:v>200</x:v>
      </x:c>
      <x:c r="H103" s="7" t="s">
        <x:v>28</x:v>
      </x:c>
      <x:c r="I103" s="10">
        <x:v>3</x:v>
      </x:c>
      <x:c r="J103" t="str">
        <x:f>IF(A103="","", "SAMP-"&amp;A103&amp;"-L"&amp;TEXT(B103,"00")&amp;"-"&amp;TEXT(C103,"yyyymmdd")&amp;"-"&amp;D103&amp;"-H"&amp;TEXT(E103,"00")&amp;"-"&amp;H103)</x:f>
        <x:v>SAMP-KG01-L24-20251022-ORD-2025-00125-H15-Blister</x:v>
      </x:c>
      <x:c r="K103" t="str">
        <x:f>IF(A103="","",IF(AND(G103&gt;=0,I103&gt;=0,I103&lt;=G103),"OK","CHECK"))</x:f>
        <x:v>OK</x:v>
      </x:c>
      <x:c r="L103" t="str">
        <x:f>IF(A103="","",IF(AND(E103&gt;=0,E103&lt;=23),"OK","CHECK"))</x:f>
        <x:v>OK</x:v>
      </x:c>
      <x:c r="M103" t="str">
        <x:f>IF(A103="","",IF(AND(K103="OK",L103="OK"),"OK","CHECK"))</x:f>
        <x:v>OK</x:v>
      </x:c>
    </x:row>
    <x:row r="104" ht="18" customHeight="1">
      <x:c r="A104" s="7" t="s">
        <x:v>18</x:v>
      </x:c>
      <x:c r="B104" s="7">
        <x:v>24</x:v>
      </x:c>
      <x:c r="C104" s="8">
        <x:v>45952</x:v>
      </x:c>
      <x:c r="D104" s="7" t="s">
        <x:v>40</x:v>
      </x:c>
      <x:c r="E104" s="9">
        <x:v>20</x:v>
      </x:c>
      <x:c r="F104" s="7" t="s">
        <x:v>23</x:v>
      </x:c>
      <x:c r="G104" s="10">
        <x:v>100</x:v>
      </x:c>
      <x:c r="H104" s="7" t="s">
        <x:v>29</x:v>
      </x:c>
      <x:c r="I104" s="10">
        <x:v>0</x:v>
      </x:c>
      <x:c r="J104" t="str">
        <x:f>IF(A104="","", "SAMP-"&amp;A104&amp;"-L"&amp;TEXT(B104,"00")&amp;"-"&amp;TEXT(C104,"yyyymmdd")&amp;"-"&amp;D104&amp;"-H"&amp;TEXT(E104,"00")&amp;"-"&amp;H104)</x:f>
        <x:v>SAMP-KG01-L24-20251022-ORD-2025-00125-H20-Bird Swing</x:v>
      </x:c>
      <x:c r="K104" t="str">
        <x:f>IF(A104="","",IF(AND(G104&gt;=0,I104&gt;=0,I104&lt;=G104),"OK","CHECK"))</x:f>
        <x:v>OK</x:v>
      </x:c>
      <x:c r="L104" t="str">
        <x:f>IF(A104="","",IF(AND(E104&gt;=0,E104&lt;=23),"OK","CHECK"))</x:f>
        <x:v>OK</x:v>
      </x:c>
      <x:c r="M104" t="str">
        <x:f>IF(A104="","",IF(AND(K104="OK",L104="OK"),"OK","CHECK"))</x:f>
        <x:v>OK</x:v>
      </x:c>
    </x:row>
    <x:row r="105" ht="18" customHeight="1">
      <x:c r="A105" s="7" t="s">
        <x:v>18</x:v>
      </x:c>
      <x:c r="B105" s="7">
        <x:v>24</x:v>
      </x:c>
      <x:c r="C105" s="8">
        <x:v>45952</x:v>
      </x:c>
      <x:c r="D105" s="7" t="s">
        <x:v>40</x:v>
      </x:c>
      <x:c r="E105" s="9">
        <x:v>23</x:v>
      </x:c>
      <x:c r="F105" s="7" t="s">
        <x:v>23</x:v>
      </x:c>
      <x:c r="G105" s="10">
        <x:v>50</x:v>
      </x:c>
      <x:c r="H105" s="7" t="s">
        <x:v>22</x:v>
      </x:c>
      <x:c r="I105" s="10">
        <x:v>0</x:v>
      </x:c>
      <x:c r="J105" t="str">
        <x:f>IF(A105="","", "SAMP-"&amp;A105&amp;"-L"&amp;TEXT(B105,"00")&amp;"-"&amp;TEXT(C105,"yyyymmdd")&amp;"-"&amp;D105&amp;"-H"&amp;TEXT(E105,"00")&amp;"-"&amp;H105)</x:f>
        <x:v>SAMP-KG01-L24-20251022-ORD-2025-00125-H23-Overpress</x:v>
      </x:c>
      <x:c r="K105" t="str">
        <x:f>IF(A105="","",IF(AND(G105&gt;=0,I105&gt;=0,I105&lt;=G105),"OK","CHECK"))</x:f>
        <x:v>OK</x:v>
      </x:c>
      <x:c r="L105" t="str">
        <x:f>IF(A105="","",IF(AND(E105&gt;=0,E105&lt;=23),"OK","CHECK"))</x:f>
        <x:v>OK</x:v>
      </x:c>
      <x:c r="M105" t="str">
        <x:f>IF(A105="","",IF(AND(K105="OK",L105="OK"),"OK","CHECK"))</x:f>
        <x:v>OK</x:v>
      </x:c>
    </x:row>
    <x:row r="106" ht="18" customHeight="1">
      <x:c r="A106" s="7" t="s">
        <x:v>18</x:v>
      </x:c>
      <x:c r="B106" s="7">
        <x:v>24</x:v>
      </x:c>
      <x:c r="C106" s="8">
        <x:v>45953</x:v>
      </x:c>
      <x:c r="D106" s="7" t="s">
        <x:v>40</x:v>
      </x:c>
      <x:c r="E106" s="9">
        <x:v>9</x:v>
      </x:c>
      <x:c r="F106" s="7" t="s">
        <x:v>20</x:v>
      </x:c>
      <x:c r="G106" s="10">
        <x:v>150</x:v>
      </x:c>
      <x:c r="H106" s="7" t="s">
        <x:v>26</x:v>
      </x:c>
      <x:c r="I106" s="10">
        <x:v>4</x:v>
      </x:c>
      <x:c r="J106" t="str">
        <x:f>IF(A106="","", "SAMP-"&amp;A106&amp;"-L"&amp;TEXT(B106,"00")&amp;"-"&amp;TEXT(C106,"yyyymmdd")&amp;"-"&amp;D106&amp;"-H"&amp;TEXT(E106,"00")&amp;"-"&amp;H106)</x:f>
        <x:v>SAMP-KG01-L24-20251023-ORD-2025-00125-H09-Thin Wall</x:v>
      </x:c>
      <x:c r="K106" t="str">
        <x:f>IF(A106="","",IF(AND(G106&gt;=0,I106&gt;=0,I106&lt;=G106),"OK","CHECK"))</x:f>
        <x:v>OK</x:v>
      </x:c>
      <x:c r="L106" t="str">
        <x:f>IF(A106="","",IF(AND(E106&gt;=0,E106&lt;=23),"OK","CHECK"))</x:f>
        <x:v>OK</x:v>
      </x:c>
      <x:c r="M106" t="str">
        <x:f>IF(A106="","",IF(AND(K106="OK",L106="OK"),"OK","CHECK"))</x:f>
        <x:v>OK</x:v>
      </x:c>
    </x:row>
    <x:row r="107" ht="18" customHeight="1">
      <x:c r="A107" s="7" t="s">
        <x:v>18</x:v>
      </x:c>
      <x:c r="B107" s="7">
        <x:v>24</x:v>
      </x:c>
      <x:c r="C107" s="8">
        <x:v>45953</x:v>
      </x:c>
      <x:c r="D107" s="7" t="s">
        <x:v>40</x:v>
      </x:c>
      <x:c r="E107" s="9">
        <x:v>15</x:v>
      </x:c>
      <x:c r="F107" s="7" t="s">
        <x:v>20</x:v>
      </x:c>
      <x:c r="G107" s="10">
        <x:v>150</x:v>
      </x:c>
      <x:c r="H107" s="7" t="s">
        <x:v>21</x:v>
      </x:c>
      <x:c r="I107" s="10">
        <x:v>5</x:v>
      </x:c>
      <x:c r="J107" t="str">
        <x:f>IF(A107="","", "SAMP-"&amp;A107&amp;"-L"&amp;TEXT(B107,"00")&amp;"-"&amp;TEXT(C107,"yyyymmdd")&amp;"-"&amp;D107&amp;"-H"&amp;TEXT(E107,"00")&amp;"-"&amp;H107)</x:f>
        <x:v>SAMP-KG01-L24-20251023-ORD-2025-00125-H15-Choke Neck</x:v>
      </x:c>
      <x:c r="K107" t="str">
        <x:f>IF(A107="","",IF(AND(G107&gt;=0,I107&gt;=0,I107&lt;=G107),"OK","CHECK"))</x:f>
        <x:v>OK</x:v>
      </x:c>
      <x:c r="L107" t="str">
        <x:f>IF(A107="","",IF(AND(E107&gt;=0,E107&lt;=23),"OK","CHECK"))</x:f>
        <x:v>OK</x:v>
      </x:c>
      <x:c r="M107" t="str">
        <x:f>IF(A107="","",IF(AND(K107="OK",L107="OK"),"OK","CHECK"))</x:f>
        <x:v>OK</x:v>
      </x:c>
    </x:row>
    <x:row r="108" ht="18" customHeight="1">
      <x:c r="A108" s="7" t="s">
        <x:v>18</x:v>
      </x:c>
      <x:c r="B108" s="7">
        <x:v>24</x:v>
      </x:c>
      <x:c r="C108" s="8">
        <x:v>45953</x:v>
      </x:c>
      <x:c r="D108" s="7" t="s">
        <x:v>40</x:v>
      </x:c>
      <x:c r="E108" s="9">
        <x:v>20</x:v>
      </x:c>
      <x:c r="F108" s="7" t="s">
        <x:v>23</x:v>
      </x:c>
      <x:c r="G108" s="10">
        <x:v>200</x:v>
      </x:c>
      <x:c r="H108" s="7" t="s">
        <x:v>27</x:v>
      </x:c>
      <x:c r="I108" s="10">
        <x:v>3</x:v>
      </x:c>
      <x:c r="J108" t="str">
        <x:f>IF(A108="","", "SAMP-"&amp;A108&amp;"-L"&amp;TEXT(B108,"00")&amp;"-"&amp;TEXT(C108,"yyyymmdd")&amp;"-"&amp;D108&amp;"-H"&amp;TEXT(E108,"00")&amp;"-"&amp;H108)</x:f>
        <x:v>SAMP-KG01-L24-20251023-ORD-2025-00125-H20-Stone</x:v>
      </x:c>
      <x:c r="K108" t="str">
        <x:f>IF(A108="","",IF(AND(G108&gt;=0,I108&gt;=0,I108&lt;=G108),"OK","CHECK"))</x:f>
        <x:v>OK</x:v>
      </x:c>
      <x:c r="L108" t="str">
        <x:f>IF(A108="","",IF(AND(E108&gt;=0,E108&lt;=23),"OK","CHECK"))</x:f>
        <x:v>OK</x:v>
      </x:c>
      <x:c r="M108" t="str">
        <x:f>IF(A108="","",IF(AND(K108="OK",L108="OK"),"OK","CHECK"))</x:f>
        <x:v>OK</x:v>
      </x:c>
    </x:row>
    <x:row r="109" ht="18" customHeight="1">
      <x:c r="A109" s="7" t="s">
        <x:v>18</x:v>
      </x:c>
      <x:c r="B109" s="7">
        <x:v>24</x:v>
      </x:c>
      <x:c r="C109" s="8">
        <x:v>45953</x:v>
      </x:c>
      <x:c r="D109" s="7" t="s">
        <x:v>40</x:v>
      </x:c>
      <x:c r="E109" s="9">
        <x:v>23</x:v>
      </x:c>
      <x:c r="F109" s="7" t="s">
        <x:v>23</x:v>
      </x:c>
      <x:c r="G109" s="10">
        <x:v>150</x:v>
      </x:c>
      <x:c r="H109" s="7" t="s">
        <x:v>27</x:v>
      </x:c>
      <x:c r="I109" s="10">
        <x:v>5</x:v>
      </x:c>
      <x:c r="J109" t="str">
        <x:f>IF(A109="","", "SAMP-"&amp;A109&amp;"-L"&amp;TEXT(B109,"00")&amp;"-"&amp;TEXT(C109,"yyyymmdd")&amp;"-"&amp;D109&amp;"-H"&amp;TEXT(E109,"00")&amp;"-"&amp;H109)</x:f>
        <x:v>SAMP-KG01-L24-20251023-ORD-2025-00125-H23-Stone</x:v>
      </x:c>
      <x:c r="K109" t="str">
        <x:f>IF(A109="","",IF(AND(G109&gt;=0,I109&gt;=0,I109&lt;=G109),"OK","CHECK"))</x:f>
        <x:v>OK</x:v>
      </x:c>
      <x:c r="L109" t="str">
        <x:f>IF(A109="","",IF(AND(E109&gt;=0,E109&lt;=23),"OK","CHECK"))</x:f>
        <x:v>OK</x:v>
      </x:c>
      <x:c r="M109" t="str">
        <x:f>IF(A109="","",IF(AND(K109="OK",L109="OK"),"OK","CHECK"))</x:f>
        <x:v>OK</x:v>
      </x:c>
    </x:row>
    <x:row r="110" ht="18" customHeight="1">
      <x:c r="A110" s="7" t="s">
        <x:v>18</x:v>
      </x:c>
      <x:c r="B110" s="7">
        <x:v>24</x:v>
      </x:c>
      <x:c r="C110" s="8">
        <x:v>45954</x:v>
      </x:c>
      <x:c r="D110" s="7" t="s">
        <x:v>40</x:v>
      </x:c>
      <x:c r="E110" s="9">
        <x:v>9</x:v>
      </x:c>
      <x:c r="F110" s="7" t="s">
        <x:v>20</x:v>
      </x:c>
      <x:c r="G110" s="10">
        <x:v>150</x:v>
      </x:c>
      <x:c r="H110" s="7" t="s">
        <x:v>30</x:v>
      </x:c>
      <x:c r="I110" s="10">
        <x:v>1</x:v>
      </x:c>
      <x:c r="J110" t="str">
        <x:f>IF(A110="","", "SAMP-"&amp;A110&amp;"-L"&amp;TEXT(B110,"00")&amp;"-"&amp;TEXT(C110,"yyyymmdd")&amp;"-"&amp;D110&amp;"-H"&amp;TEXT(E110,"00")&amp;"-"&amp;H110)</x:f>
        <x:v>SAMP-KG01-L24-20251024-ORD-2025-00125-H09-Crack</x:v>
      </x:c>
      <x:c r="K110" t="str">
        <x:f>IF(A110="","",IF(AND(G110&gt;=0,I110&gt;=0,I110&lt;=G110),"OK","CHECK"))</x:f>
        <x:v>OK</x:v>
      </x:c>
      <x:c r="L110" t="str">
        <x:f>IF(A110="","",IF(AND(E110&gt;=0,E110&lt;=23),"OK","CHECK"))</x:f>
        <x:v>OK</x:v>
      </x:c>
      <x:c r="M110" t="str">
        <x:f>IF(A110="","",IF(AND(K110="OK",L110="OK"),"OK","CHECK"))</x:f>
        <x:v>OK</x:v>
      </x:c>
    </x:row>
    <x:row r="111" ht="18" customHeight="1">
      <x:c r="A111" s="7" t="s">
        <x:v>18</x:v>
      </x:c>
      <x:c r="B111" s="7">
        <x:v>24</x:v>
      </x:c>
      <x:c r="C111" s="8">
        <x:v>45954</x:v>
      </x:c>
      <x:c r="D111" s="7" t="s">
        <x:v>40</x:v>
      </x:c>
      <x:c r="E111" s="9">
        <x:v>15</x:v>
      </x:c>
      <x:c r="F111" s="7" t="s">
        <x:v>20</x:v>
      </x:c>
      <x:c r="G111" s="10">
        <x:v>50</x:v>
      </x:c>
      <x:c r="H111" s="7" t="s">
        <x:v>25</x:v>
      </x:c>
      <x:c r="I111" s="10">
        <x:v>1</x:v>
      </x:c>
      <x:c r="J111" t="str">
        <x:f>IF(A111="","", "SAMP-"&amp;A111&amp;"-L"&amp;TEXT(B111,"00")&amp;"-"&amp;TEXT(C111,"yyyymmdd")&amp;"-"&amp;D111&amp;"-H"&amp;TEXT(E111,"00")&amp;"-"&amp;H111)</x:f>
        <x:v>SAMP-KG01-L24-20251024-ORD-2025-00125-H15-Distortion</x:v>
      </x:c>
      <x:c r="K111" t="str">
        <x:f>IF(A111="","",IF(AND(G111&gt;=0,I111&gt;=0,I111&lt;=G111),"OK","CHECK"))</x:f>
        <x:v>OK</x:v>
      </x:c>
      <x:c r="L111" t="str">
        <x:f>IF(A111="","",IF(AND(E111&gt;=0,E111&lt;=23),"OK","CHECK"))</x:f>
        <x:v>OK</x:v>
      </x:c>
      <x:c r="M111" t="str">
        <x:f>IF(A111="","",IF(AND(K111="OK",L111="OK"),"OK","CHECK"))</x:f>
        <x:v>OK</x:v>
      </x:c>
    </x:row>
    <x:row r="112" ht="18" customHeight="1">
      <x:c r="A112" s="7" t="s">
        <x:v>18</x:v>
      </x:c>
      <x:c r="B112" s="7">
        <x:v>24</x:v>
      </x:c>
      <x:c r="C112" s="8">
        <x:v>45954</x:v>
      </x:c>
      <x:c r="D112" s="7" t="s">
        <x:v>40</x:v>
      </x:c>
      <x:c r="E112" s="9">
        <x:v>20</x:v>
      </x:c>
      <x:c r="F112" s="7" t="s">
        <x:v>23</x:v>
      </x:c>
      <x:c r="G112" s="10">
        <x:v>50</x:v>
      </x:c>
      <x:c r="H112" s="7" t="s">
        <x:v>28</x:v>
      </x:c>
      <x:c r="I112" s="10">
        <x:v>0</x:v>
      </x:c>
      <x:c r="J112" t="str">
        <x:f>IF(A112="","", "SAMP-"&amp;A112&amp;"-L"&amp;TEXT(B112,"00")&amp;"-"&amp;TEXT(C112,"yyyymmdd")&amp;"-"&amp;D112&amp;"-H"&amp;TEXT(E112,"00")&amp;"-"&amp;H112)</x:f>
        <x:v>SAMP-KG01-L24-20251024-ORD-2025-00125-H20-Blister</x:v>
      </x:c>
      <x:c r="K112" t="str">
        <x:f>IF(A112="","",IF(AND(G112&gt;=0,I112&gt;=0,I112&lt;=G112),"OK","CHECK"))</x:f>
        <x:v>OK</x:v>
      </x:c>
      <x:c r="L112" t="str">
        <x:f>IF(A112="","",IF(AND(E112&gt;=0,E112&lt;=23),"OK","CHECK"))</x:f>
        <x:v>OK</x:v>
      </x:c>
      <x:c r="M112" t="str">
        <x:f>IF(A112="","",IF(AND(K112="OK",L112="OK"),"OK","CHECK"))</x:f>
        <x:v>OK</x:v>
      </x:c>
    </x:row>
    <x:row r="113" ht="18" customHeight="1">
      <x:c r="A113" s="7" t="s">
        <x:v>18</x:v>
      </x:c>
      <x:c r="B113" s="7">
        <x:v>24</x:v>
      </x:c>
      <x:c r="C113" s="8">
        <x:v>45954</x:v>
      </x:c>
      <x:c r="D113" s="7" t="s">
        <x:v>40</x:v>
      </x:c>
      <x:c r="E113" s="9">
        <x:v>23</x:v>
      </x:c>
      <x:c r="F113" s="7" t="s">
        <x:v>23</x:v>
      </x:c>
      <x:c r="G113" s="10">
        <x:v>150</x:v>
      </x:c>
      <x:c r="H113" s="7" t="s">
        <x:v>29</x:v>
      </x:c>
      <x:c r="I113" s="10">
        <x:v>1</x:v>
      </x:c>
      <x:c r="J113" t="str">
        <x:f>IF(A113="","", "SAMP-"&amp;A113&amp;"-L"&amp;TEXT(B113,"00")&amp;"-"&amp;TEXT(C113,"yyyymmdd")&amp;"-"&amp;D113&amp;"-H"&amp;TEXT(E113,"00")&amp;"-"&amp;H113)</x:f>
        <x:v>SAMP-KG01-L24-20251024-ORD-2025-00125-H23-Bird Swing</x:v>
      </x:c>
      <x:c r="K113" t="str">
        <x:f>IF(A113="","",IF(AND(G113&gt;=0,I113&gt;=0,I113&lt;=G113),"OK","CHECK"))</x:f>
        <x:v>OK</x:v>
      </x:c>
      <x:c r="L113" t="str">
        <x:f>IF(A113="","",IF(AND(E113&gt;=0,E113&lt;=23),"OK","CHECK"))</x:f>
        <x:v>OK</x:v>
      </x:c>
      <x:c r="M113" t="str">
        <x:f>IF(A113="","",IF(AND(K113="OK",L113="OK"),"OK","CHECK"))</x:f>
        <x:v>OK</x:v>
      </x:c>
    </x:row>
    <x:row r="114" ht="18" customHeight="1">
      <x:c r="A114" s="7" t="s">
        <x:v>18</x:v>
      </x:c>
      <x:c r="B114" s="7">
        <x:v>24</x:v>
      </x:c>
      <x:c r="C114" s="8">
        <x:v>45955</x:v>
      </x:c>
      <x:c r="D114" s="7" t="s">
        <x:v>41</x:v>
      </x:c>
      <x:c r="E114" s="9">
        <x:v>9</x:v>
      </x:c>
      <x:c r="F114" s="7" t="s">
        <x:v>20</x:v>
      </x:c>
      <x:c r="G114" s="10">
        <x:v>200</x:v>
      </x:c>
      <x:c r="H114" s="7" t="s">
        <x:v>26</x:v>
      </x:c>
      <x:c r="I114" s="10">
        <x:v>0</x:v>
      </x:c>
      <x:c r="J114" t="str">
        <x:f>IF(A114="","", "SAMP-"&amp;A114&amp;"-L"&amp;TEXT(B114,"00")&amp;"-"&amp;TEXT(C114,"yyyymmdd")&amp;"-"&amp;D114&amp;"-H"&amp;TEXT(E114,"00")&amp;"-"&amp;H114)</x:f>
        <x:v>SAMP-KG01-L24-20251025-ORD-2025-00126-H09-Thin Wall</x:v>
      </x:c>
      <x:c r="K114" t="str">
        <x:f>IF(A114="","",IF(AND(G114&gt;=0,I114&gt;=0,I114&lt;=G114),"OK","CHECK"))</x:f>
        <x:v>OK</x:v>
      </x:c>
      <x:c r="L114" t="str">
        <x:f>IF(A114="","",IF(AND(E114&gt;=0,E114&lt;=23),"OK","CHECK"))</x:f>
        <x:v>OK</x:v>
      </x:c>
      <x:c r="M114" t="str">
        <x:f>IF(A114="","",IF(AND(K114="OK",L114="OK"),"OK","CHECK"))</x:f>
        <x:v>OK</x:v>
      </x:c>
    </x:row>
    <x:row r="115" ht="18" customHeight="1">
      <x:c r="A115" s="7" t="s">
        <x:v>18</x:v>
      </x:c>
      <x:c r="B115" s="7">
        <x:v>24</x:v>
      </x:c>
      <x:c r="C115" s="8">
        <x:v>45955</x:v>
      </x:c>
      <x:c r="D115" s="7" t="s">
        <x:v>41</x:v>
      </x:c>
      <x:c r="E115" s="9">
        <x:v>15</x:v>
      </x:c>
      <x:c r="F115" s="7" t="s">
        <x:v>20</x:v>
      </x:c>
      <x:c r="G115" s="10">
        <x:v>50</x:v>
      </x:c>
      <x:c r="H115" s="7" t="s">
        <x:v>21</x:v>
      </x:c>
      <x:c r="I115" s="10">
        <x:v>1</x:v>
      </x:c>
      <x:c r="J115" t="str">
        <x:f>IF(A115="","", "SAMP-"&amp;A115&amp;"-L"&amp;TEXT(B115,"00")&amp;"-"&amp;TEXT(C115,"yyyymmdd")&amp;"-"&amp;D115&amp;"-H"&amp;TEXT(E115,"00")&amp;"-"&amp;H115)</x:f>
        <x:v>SAMP-KG01-L24-20251025-ORD-2025-00126-H15-Choke Neck</x:v>
      </x:c>
      <x:c r="K115" t="str">
        <x:f>IF(A115="","",IF(AND(G115&gt;=0,I115&gt;=0,I115&lt;=G115),"OK","CHECK"))</x:f>
        <x:v>OK</x:v>
      </x:c>
      <x:c r="L115" t="str">
        <x:f>IF(A115="","",IF(AND(E115&gt;=0,E115&lt;=23),"OK","CHECK"))</x:f>
        <x:v>OK</x:v>
      </x:c>
      <x:c r="M115" t="str">
        <x:f>IF(A115="","",IF(AND(K115="OK",L115="OK"),"OK","CHECK"))</x:f>
        <x:v>OK</x:v>
      </x:c>
    </x:row>
    <x:row r="116" ht="18" customHeight="1">
      <x:c r="A116" s="7" t="s">
        <x:v>18</x:v>
      </x:c>
      <x:c r="B116" s="7">
        <x:v>24</x:v>
      </x:c>
      <x:c r="C116" s="8">
        <x:v>45955</x:v>
      </x:c>
      <x:c r="D116" s="7" t="s">
        <x:v>41</x:v>
      </x:c>
      <x:c r="E116" s="9">
        <x:v>20</x:v>
      </x:c>
      <x:c r="F116" s="7" t="s">
        <x:v>23</x:v>
      </x:c>
      <x:c r="G116" s="10">
        <x:v>150</x:v>
      </x:c>
      <x:c r="H116" s="7" t="s">
        <x:v>30</x:v>
      </x:c>
      <x:c r="I116" s="10">
        <x:v>2</x:v>
      </x:c>
      <x:c r="J116" t="str">
        <x:f>IF(A116="","", "SAMP-"&amp;A116&amp;"-L"&amp;TEXT(B116,"00")&amp;"-"&amp;TEXT(C116,"yyyymmdd")&amp;"-"&amp;D116&amp;"-H"&amp;TEXT(E116,"00")&amp;"-"&amp;H116)</x:f>
        <x:v>SAMP-KG01-L24-20251025-ORD-2025-00126-H20-Crack</x:v>
      </x:c>
      <x:c r="K116" t="str">
        <x:f>IF(A116="","",IF(AND(G116&gt;=0,I116&gt;=0,I116&lt;=G116),"OK","CHECK"))</x:f>
        <x:v>OK</x:v>
      </x:c>
      <x:c r="L116" t="str">
        <x:f>IF(A116="","",IF(AND(E116&gt;=0,E116&lt;=23),"OK","CHECK"))</x:f>
        <x:v>OK</x:v>
      </x:c>
      <x:c r="M116" t="str">
        <x:f>IF(A116="","",IF(AND(K116="OK",L116="OK"),"OK","CHECK"))</x:f>
        <x:v>OK</x:v>
      </x:c>
    </x:row>
    <x:row r="117" ht="18" customHeight="1">
      <x:c r="A117" s="7" t="s">
        <x:v>18</x:v>
      </x:c>
      <x:c r="B117" s="7">
        <x:v>24</x:v>
      </x:c>
      <x:c r="C117" s="8">
        <x:v>45955</x:v>
      </x:c>
      <x:c r="D117" s="7" t="s">
        <x:v>41</x:v>
      </x:c>
      <x:c r="E117" s="9">
        <x:v>23</x:v>
      </x:c>
      <x:c r="F117" s="7" t="s">
        <x:v>23</x:v>
      </x:c>
      <x:c r="G117" s="10">
        <x:v>50</x:v>
      </x:c>
      <x:c r="H117" s="7" t="s">
        <x:v>30</x:v>
      </x:c>
      <x:c r="I117" s="10">
        <x:v>1</x:v>
      </x:c>
      <x:c r="J117" t="str">
        <x:f>IF(A117="","", "SAMP-"&amp;A117&amp;"-L"&amp;TEXT(B117,"00")&amp;"-"&amp;TEXT(C117,"yyyymmdd")&amp;"-"&amp;D117&amp;"-H"&amp;TEXT(E117,"00")&amp;"-"&amp;H117)</x:f>
        <x:v>SAMP-KG01-L24-20251025-ORD-2025-00126-H23-Crack</x:v>
      </x:c>
      <x:c r="K117" t="str">
        <x:f>IF(A117="","",IF(AND(G117&gt;=0,I117&gt;=0,I117&lt;=G117),"OK","CHECK"))</x:f>
        <x:v>OK</x:v>
      </x:c>
      <x:c r="L117" t="str">
        <x:f>IF(A117="","",IF(AND(E117&gt;=0,E117&lt;=23),"OK","CHECK"))</x:f>
        <x:v>OK</x:v>
      </x:c>
      <x:c r="M117" t="str">
        <x:f>IF(A117="","",IF(AND(K117="OK",L117="OK"),"OK","CHECK"))</x:f>
        <x:v>OK</x:v>
      </x:c>
    </x:row>
    <x:row r="118" ht="18" customHeight="1">
      <x:c r="A118" s="7" t="s">
        <x:v>18</x:v>
      </x:c>
      <x:c r="B118" s="7">
        <x:v>24</x:v>
      </x:c>
      <x:c r="C118" s="8">
        <x:v>45956</x:v>
      </x:c>
      <x:c r="D118" s="7" t="s">
        <x:v>41</x:v>
      </x:c>
      <x:c r="E118" s="9">
        <x:v>9</x:v>
      </x:c>
      <x:c r="F118" s="7" t="s">
        <x:v>20</x:v>
      </x:c>
      <x:c r="G118" s="10">
        <x:v>100</x:v>
      </x:c>
      <x:c r="H118" s="7" t="s">
        <x:v>29</x:v>
      </x:c>
      <x:c r="I118" s="10">
        <x:v>2</x:v>
      </x:c>
      <x:c r="J118" t="str">
        <x:f>IF(A118="","", "SAMP-"&amp;A118&amp;"-L"&amp;TEXT(B118,"00")&amp;"-"&amp;TEXT(C118,"yyyymmdd")&amp;"-"&amp;D118&amp;"-H"&amp;TEXT(E118,"00")&amp;"-"&amp;H118)</x:f>
        <x:v>SAMP-KG01-L24-20251026-ORD-2025-00126-H09-Bird Swing</x:v>
      </x:c>
      <x:c r="K118" t="str">
        <x:f>IF(A118="","",IF(AND(G118&gt;=0,I118&gt;=0,I118&lt;=G118),"OK","CHECK"))</x:f>
        <x:v>OK</x:v>
      </x:c>
      <x:c r="L118" t="str">
        <x:f>IF(A118="","",IF(AND(E118&gt;=0,E118&lt;=23),"OK","CHECK"))</x:f>
        <x:v>OK</x:v>
      </x:c>
      <x:c r="M118" t="str">
        <x:f>IF(A118="","",IF(AND(K118="OK",L118="OK"),"OK","CHECK"))</x:f>
        <x:v>OK</x:v>
      </x:c>
    </x:row>
    <x:row r="119" ht="18" customHeight="1">
      <x:c r="A119" s="7" t="s">
        <x:v>18</x:v>
      </x:c>
      <x:c r="B119" s="7">
        <x:v>24</x:v>
      </x:c>
      <x:c r="C119" s="8">
        <x:v>45956</x:v>
      </x:c>
      <x:c r="D119" s="7" t="s">
        <x:v>41</x:v>
      </x:c>
      <x:c r="E119" s="9">
        <x:v>15</x:v>
      </x:c>
      <x:c r="F119" s="7" t="s">
        <x:v>20</x:v>
      </x:c>
      <x:c r="G119" s="10">
        <x:v>150</x:v>
      </x:c>
      <x:c r="H119" s="7" t="s">
        <x:v>33</x:v>
      </x:c>
      <x:c r="I119" s="10">
        <x:v>0</x:v>
      </x:c>
      <x:c r="J119" t="str">
        <x:f>IF(A119="","", "SAMP-"&amp;A119&amp;"-L"&amp;TEXT(B119,"00")&amp;"-"&amp;TEXT(C119,"yyyymmdd")&amp;"-"&amp;D119&amp;"-H"&amp;TEXT(E119,"00")&amp;"-"&amp;H119)</x:f>
        <x:v>SAMP-KG01-L24-20251026-ORD-2025-00126-H15-Chip</x:v>
      </x:c>
      <x:c r="K119" t="str">
        <x:f>IF(A119="","",IF(AND(G119&gt;=0,I119&gt;=0,I119&lt;=G119),"OK","CHECK"))</x:f>
        <x:v>OK</x:v>
      </x:c>
      <x:c r="L119" t="str">
        <x:f>IF(A119="","",IF(AND(E119&gt;=0,E119&lt;=23),"OK","CHECK"))</x:f>
        <x:v>OK</x:v>
      </x:c>
      <x:c r="M119" t="str">
        <x:f>IF(A119="","",IF(AND(K119="OK",L119="OK"),"OK","CHECK"))</x:f>
        <x:v>OK</x:v>
      </x:c>
    </x:row>
    <x:row r="120" ht="18" customHeight="1">
      <x:c r="A120" s="7" t="s">
        <x:v>18</x:v>
      </x:c>
      <x:c r="B120" s="7">
        <x:v>24</x:v>
      </x:c>
      <x:c r="C120" s="8">
        <x:v>45956</x:v>
      </x:c>
      <x:c r="D120" s="7" t="s">
        <x:v>41</x:v>
      </x:c>
      <x:c r="E120" s="9">
        <x:v>20</x:v>
      </x:c>
      <x:c r="F120" s="7" t="s">
        <x:v>23</x:v>
      </x:c>
      <x:c r="G120" s="10">
        <x:v>100</x:v>
      </x:c>
      <x:c r="H120" s="7" t="s">
        <x:v>26</x:v>
      </x:c>
      <x:c r="I120" s="10">
        <x:v>3</x:v>
      </x:c>
      <x:c r="J120" t="str">
        <x:f>IF(A120="","", "SAMP-"&amp;A120&amp;"-L"&amp;TEXT(B120,"00")&amp;"-"&amp;TEXT(C120,"yyyymmdd")&amp;"-"&amp;D120&amp;"-H"&amp;TEXT(E120,"00")&amp;"-"&amp;H120)</x:f>
        <x:v>SAMP-KG01-L24-20251026-ORD-2025-00126-H20-Thin Wall</x:v>
      </x:c>
      <x:c r="K120" t="str">
        <x:f>IF(A120="","",IF(AND(G120&gt;=0,I120&gt;=0,I120&lt;=G120),"OK","CHECK"))</x:f>
        <x:v>OK</x:v>
      </x:c>
      <x:c r="L120" t="str">
        <x:f>IF(A120="","",IF(AND(E120&gt;=0,E120&lt;=23),"OK","CHECK"))</x:f>
        <x:v>OK</x:v>
      </x:c>
      <x:c r="M120" t="str">
        <x:f>IF(A120="","",IF(AND(K120="OK",L120="OK"),"OK","CHECK"))</x:f>
        <x:v>OK</x:v>
      </x:c>
    </x:row>
    <x:row r="121" ht="18" customHeight="1">
      <x:c r="A121" s="7" t="s">
        <x:v>18</x:v>
      </x:c>
      <x:c r="B121" s="7">
        <x:v>24</x:v>
      </x:c>
      <x:c r="C121" s="8">
        <x:v>45956</x:v>
      </x:c>
      <x:c r="D121" s="7" t="s">
        <x:v>41</x:v>
      </x:c>
      <x:c r="E121" s="9">
        <x:v>23</x:v>
      </x:c>
      <x:c r="F121" s="7" t="s">
        <x:v>23</x:v>
      </x:c>
      <x:c r="G121" s="10">
        <x:v>50</x:v>
      </x:c>
      <x:c r="H121" s="7" t="s">
        <x:v>21</x:v>
      </x:c>
      <x:c r="I121" s="10">
        <x:v>1</x:v>
      </x:c>
      <x:c r="J121" t="str">
        <x:f>IF(A121="","", "SAMP-"&amp;A121&amp;"-L"&amp;TEXT(B121,"00")&amp;"-"&amp;TEXT(C121,"yyyymmdd")&amp;"-"&amp;D121&amp;"-H"&amp;TEXT(E121,"00")&amp;"-"&amp;H121)</x:f>
        <x:v>SAMP-KG01-L24-20251026-ORD-2025-00126-H23-Choke Neck</x:v>
      </x:c>
      <x:c r="K121" t="str">
        <x:f>IF(A121="","",IF(AND(G121&gt;=0,I121&gt;=0,I121&lt;=G121),"OK","CHECK"))</x:f>
        <x:v>OK</x:v>
      </x:c>
      <x:c r="L121" t="str">
        <x:f>IF(A121="","",IF(AND(E121&gt;=0,E121&lt;=23),"OK","CHECK"))</x:f>
        <x:v>OK</x:v>
      </x:c>
      <x:c r="M121" t="str">
        <x:f>IF(A121="","",IF(AND(K121="OK",L121="OK"),"OK","CHECK"))</x:f>
        <x:v>OK</x:v>
      </x:c>
    </x:row>
    <x:row r="122" ht="18" customHeight="1">
      <x:c r="A122" s="7" t="s">
        <x:v>18</x:v>
      </x:c>
      <x:c r="B122" s="7">
        <x:v>25</x:v>
      </x:c>
      <x:c r="C122" s="8">
        <x:v>45950</x:v>
      </x:c>
      <x:c r="D122" s="7" t="s">
        <x:v>42</x:v>
      </x:c>
      <x:c r="E122" s="9">
        <x:v>9</x:v>
      </x:c>
      <x:c r="F122" s="7" t="s">
        <x:v>20</x:v>
      </x:c>
      <x:c r="G122" s="10">
        <x:v>200</x:v>
      </x:c>
      <x:c r="H122" s="7" t="s">
        <x:v>22</x:v>
      </x:c>
      <x:c r="I122" s="10">
        <x:v>6</x:v>
      </x:c>
      <x:c r="J122" t="str">
        <x:f>IF(A122="","", "SAMP-"&amp;A122&amp;"-L"&amp;TEXT(B122,"00")&amp;"-"&amp;TEXT(C122,"yyyymmdd")&amp;"-"&amp;D122&amp;"-H"&amp;TEXT(E122,"00")&amp;"-"&amp;H122)</x:f>
        <x:v>SAMP-KG01-L25-20251020-ORD-2025-00161-H09-Overpress</x:v>
      </x:c>
      <x:c r="K122" t="str">
        <x:f>IF(A122="","",IF(AND(G122&gt;=0,I122&gt;=0,I122&lt;=G122),"OK","CHECK"))</x:f>
        <x:v>OK</x:v>
      </x:c>
      <x:c r="L122" t="str">
        <x:f>IF(A122="","",IF(AND(E122&gt;=0,E122&lt;=23),"OK","CHECK"))</x:f>
        <x:v>OK</x:v>
      </x:c>
      <x:c r="M122" t="str">
        <x:f>IF(A122="","",IF(AND(K122="OK",L122="OK"),"OK","CHECK"))</x:f>
        <x:v>OK</x:v>
      </x:c>
    </x:row>
    <x:row r="123" ht="18" customHeight="1">
      <x:c r="A123" s="7" t="s">
        <x:v>18</x:v>
      </x:c>
      <x:c r="B123" s="7">
        <x:v>25</x:v>
      </x:c>
      <x:c r="C123" s="8">
        <x:v>45950</x:v>
      </x:c>
      <x:c r="D123" s="7" t="s">
        <x:v>42</x:v>
      </x:c>
      <x:c r="E123" s="9">
        <x:v>15</x:v>
      </x:c>
      <x:c r="F123" s="7" t="s">
        <x:v>20</x:v>
      </x:c>
      <x:c r="G123" s="10">
        <x:v>100</x:v>
      </x:c>
      <x:c r="H123" s="7" t="s">
        <x:v>22</x:v>
      </x:c>
      <x:c r="I123" s="10">
        <x:v>1</x:v>
      </x:c>
      <x:c r="J123" t="str">
        <x:f>IF(A123="","", "SAMP-"&amp;A123&amp;"-L"&amp;TEXT(B123,"00")&amp;"-"&amp;TEXT(C123,"yyyymmdd")&amp;"-"&amp;D123&amp;"-H"&amp;TEXT(E123,"00")&amp;"-"&amp;H123)</x:f>
        <x:v>SAMP-KG01-L25-20251020-ORD-2025-00161-H15-Overpress</x:v>
      </x:c>
      <x:c r="K123" t="str">
        <x:f>IF(A123="","",IF(AND(G123&gt;=0,I123&gt;=0,I123&lt;=G123),"OK","CHECK"))</x:f>
        <x:v>OK</x:v>
      </x:c>
      <x:c r="L123" t="str">
        <x:f>IF(A123="","",IF(AND(E123&gt;=0,E123&lt;=23),"OK","CHECK"))</x:f>
        <x:v>OK</x:v>
      </x:c>
      <x:c r="M123" t="str">
        <x:f>IF(A123="","",IF(AND(K123="OK",L123="OK"),"OK","CHECK"))</x:f>
        <x:v>OK</x:v>
      </x:c>
    </x:row>
    <x:row r="124" ht="18" customHeight="1">
      <x:c r="A124" s="7" t="s">
        <x:v>18</x:v>
      </x:c>
      <x:c r="B124" s="7">
        <x:v>25</x:v>
      </x:c>
      <x:c r="C124" s="8">
        <x:v>45950</x:v>
      </x:c>
      <x:c r="D124" s="7" t="s">
        <x:v>42</x:v>
      </x:c>
      <x:c r="E124" s="9">
        <x:v>20</x:v>
      </x:c>
      <x:c r="F124" s="7" t="s">
        <x:v>23</x:v>
      </x:c>
      <x:c r="G124" s="10">
        <x:v>150</x:v>
      </x:c>
      <x:c r="H124" s="7" t="s">
        <x:v>26</x:v>
      </x:c>
      <x:c r="I124" s="10">
        <x:v>5</x:v>
      </x:c>
      <x:c r="J124" t="str">
        <x:f>IF(A124="","", "SAMP-"&amp;A124&amp;"-L"&amp;TEXT(B124,"00")&amp;"-"&amp;TEXT(C124,"yyyymmdd")&amp;"-"&amp;D124&amp;"-H"&amp;TEXT(E124,"00")&amp;"-"&amp;H124)</x:f>
        <x:v>SAMP-KG01-L25-20251020-ORD-2025-00161-H20-Thin Wall</x:v>
      </x:c>
      <x:c r="K124" t="str">
        <x:f>IF(A124="","",IF(AND(G124&gt;=0,I124&gt;=0,I124&lt;=G124),"OK","CHECK"))</x:f>
        <x:v>OK</x:v>
      </x:c>
      <x:c r="L124" t="str">
        <x:f>IF(A124="","",IF(AND(E124&gt;=0,E124&lt;=23),"OK","CHECK"))</x:f>
        <x:v>OK</x:v>
      </x:c>
      <x:c r="M124" t="str">
        <x:f>IF(A124="","",IF(AND(K124="OK",L124="OK"),"OK","CHECK"))</x:f>
        <x:v>OK</x:v>
      </x:c>
    </x:row>
    <x:row r="125" ht="18" customHeight="1">
      <x:c r="A125" s="7" t="s">
        <x:v>18</x:v>
      </x:c>
      <x:c r="B125" s="7">
        <x:v>25</x:v>
      </x:c>
      <x:c r="C125" s="8">
        <x:v>45950</x:v>
      </x:c>
      <x:c r="D125" s="7" t="s">
        <x:v>42</x:v>
      </x:c>
      <x:c r="E125" s="9">
        <x:v>23</x:v>
      </x:c>
      <x:c r="F125" s="7" t="s">
        <x:v>23</x:v>
      </x:c>
      <x:c r="G125" s="10">
        <x:v>50</x:v>
      </x:c>
      <x:c r="H125" s="7" t="s">
        <x:v>33</x:v>
      </x:c>
      <x:c r="I125" s="10">
        <x:v>0</x:v>
      </x:c>
      <x:c r="J125" t="str">
        <x:f>IF(A125="","", "SAMP-"&amp;A125&amp;"-L"&amp;TEXT(B125,"00")&amp;"-"&amp;TEXT(C125,"yyyymmdd")&amp;"-"&amp;D125&amp;"-H"&amp;TEXT(E125,"00")&amp;"-"&amp;H125)</x:f>
        <x:v>SAMP-KG01-L25-20251020-ORD-2025-00161-H23-Chip</x:v>
      </x:c>
      <x:c r="K125" t="str">
        <x:f>IF(A125="","",IF(AND(G125&gt;=0,I125&gt;=0,I125&lt;=G125),"OK","CHECK"))</x:f>
        <x:v>OK</x:v>
      </x:c>
      <x:c r="L125" t="str">
        <x:f>IF(A125="","",IF(AND(E125&gt;=0,E125&lt;=23),"OK","CHECK"))</x:f>
        <x:v>OK</x:v>
      </x:c>
      <x:c r="M125" t="str">
        <x:f>IF(A125="","",IF(AND(K125="OK",L125="OK"),"OK","CHECK"))</x:f>
        <x:v>OK</x:v>
      </x:c>
    </x:row>
    <x:row r="126" ht="18" customHeight="1">
      <x:c r="A126" s="7" t="s">
        <x:v>18</x:v>
      </x:c>
      <x:c r="B126" s="7">
        <x:v>25</x:v>
      </x:c>
      <x:c r="C126" s="8">
        <x:v>45951</x:v>
      </x:c>
      <x:c r="D126" s="7" t="s">
        <x:v>42</x:v>
      </x:c>
      <x:c r="E126" s="9">
        <x:v>9</x:v>
      </x:c>
      <x:c r="F126" s="7" t="s">
        <x:v>20</x:v>
      </x:c>
      <x:c r="G126" s="10">
        <x:v>150</x:v>
      </x:c>
      <x:c r="H126" s="7" t="s">
        <x:v>26</x:v>
      </x:c>
      <x:c r="I126" s="10">
        <x:v>3</x:v>
      </x:c>
      <x:c r="J126" t="str">
        <x:f>IF(A126="","", "SAMP-"&amp;A126&amp;"-L"&amp;TEXT(B126,"00")&amp;"-"&amp;TEXT(C126,"yyyymmdd")&amp;"-"&amp;D126&amp;"-H"&amp;TEXT(E126,"00")&amp;"-"&amp;H126)</x:f>
        <x:v>SAMP-KG01-L25-20251021-ORD-2025-00161-H09-Thin Wall</x:v>
      </x:c>
      <x:c r="K126" t="str">
        <x:f>IF(A126="","",IF(AND(G126&gt;=0,I126&gt;=0,I126&lt;=G126),"OK","CHECK"))</x:f>
        <x:v>OK</x:v>
      </x:c>
      <x:c r="L126" t="str">
        <x:f>IF(A126="","",IF(AND(E126&gt;=0,E126&lt;=23),"OK","CHECK"))</x:f>
        <x:v>OK</x:v>
      </x:c>
      <x:c r="M126" t="str">
        <x:f>IF(A126="","",IF(AND(K126="OK",L126="OK"),"OK","CHECK"))</x:f>
        <x:v>OK</x:v>
      </x:c>
    </x:row>
    <x:row r="127" ht="18" customHeight="1">
      <x:c r="A127" s="7" t="s">
        <x:v>18</x:v>
      </x:c>
      <x:c r="B127" s="7">
        <x:v>25</x:v>
      </x:c>
      <x:c r="C127" s="8">
        <x:v>45951</x:v>
      </x:c>
      <x:c r="D127" s="7" t="s">
        <x:v>42</x:v>
      </x:c>
      <x:c r="E127" s="9">
        <x:v>15</x:v>
      </x:c>
      <x:c r="F127" s="7" t="s">
        <x:v>20</x:v>
      </x:c>
      <x:c r="G127" s="10">
        <x:v>100</x:v>
      </x:c>
      <x:c r="H127" s="7" t="s">
        <x:v>22</x:v>
      </x:c>
      <x:c r="I127" s="10">
        <x:v>1</x:v>
      </x:c>
      <x:c r="J127" t="str">
        <x:f>IF(A127="","", "SAMP-"&amp;A127&amp;"-L"&amp;TEXT(B127,"00")&amp;"-"&amp;TEXT(C127,"yyyymmdd")&amp;"-"&amp;D127&amp;"-H"&amp;TEXT(E127,"00")&amp;"-"&amp;H127)</x:f>
        <x:v>SAMP-KG01-L25-20251021-ORD-2025-00161-H15-Overpress</x:v>
      </x:c>
      <x:c r="K127" t="str">
        <x:f>IF(A127="","",IF(AND(G127&gt;=0,I127&gt;=0,I127&lt;=G127),"OK","CHECK"))</x:f>
        <x:v>OK</x:v>
      </x:c>
      <x:c r="L127" t="str">
        <x:f>IF(A127="","",IF(AND(E127&gt;=0,E127&lt;=23),"OK","CHECK"))</x:f>
        <x:v>OK</x:v>
      </x:c>
      <x:c r="M127" t="str">
        <x:f>IF(A127="","",IF(AND(K127="OK",L127="OK"),"OK","CHECK"))</x:f>
        <x:v>OK</x:v>
      </x:c>
    </x:row>
    <x:row r="128" ht="18" customHeight="1">
      <x:c r="A128" s="7" t="s">
        <x:v>18</x:v>
      </x:c>
      <x:c r="B128" s="7">
        <x:v>25</x:v>
      </x:c>
      <x:c r="C128" s="8">
        <x:v>45951</x:v>
      </x:c>
      <x:c r="D128" s="7" t="s">
        <x:v>42</x:v>
      </x:c>
      <x:c r="E128" s="9">
        <x:v>20</x:v>
      </x:c>
      <x:c r="F128" s="7" t="s">
        <x:v>23</x:v>
      </x:c>
      <x:c r="G128" s="10">
        <x:v>100</x:v>
      </x:c>
      <x:c r="H128" s="7" t="s">
        <x:v>30</x:v>
      </x:c>
      <x:c r="I128" s="10">
        <x:v>2</x:v>
      </x:c>
      <x:c r="J128" t="str">
        <x:f>IF(A128="","", "SAMP-"&amp;A128&amp;"-L"&amp;TEXT(B128,"00")&amp;"-"&amp;TEXT(C128,"yyyymmdd")&amp;"-"&amp;D128&amp;"-H"&amp;TEXT(E128,"00")&amp;"-"&amp;H128)</x:f>
        <x:v>SAMP-KG01-L25-20251021-ORD-2025-00161-H20-Crack</x:v>
      </x:c>
      <x:c r="K128" t="str">
        <x:f>IF(A128="","",IF(AND(G128&gt;=0,I128&gt;=0,I128&lt;=G128),"OK","CHECK"))</x:f>
        <x:v>OK</x:v>
      </x:c>
      <x:c r="L128" t="str">
        <x:f>IF(A128="","",IF(AND(E128&gt;=0,E128&lt;=23),"OK","CHECK"))</x:f>
        <x:v>OK</x:v>
      </x:c>
      <x:c r="M128" t="str">
        <x:f>IF(A128="","",IF(AND(K128="OK",L128="OK"),"OK","CHECK"))</x:f>
        <x:v>OK</x:v>
      </x:c>
    </x:row>
    <x:row r="129" ht="18" customHeight="1">
      <x:c r="A129" s="7" t="s">
        <x:v>18</x:v>
      </x:c>
      <x:c r="B129" s="7">
        <x:v>25</x:v>
      </x:c>
      <x:c r="C129" s="8">
        <x:v>45951</x:v>
      </x:c>
      <x:c r="D129" s="7" t="s">
        <x:v>42</x:v>
      </x:c>
      <x:c r="E129" s="9">
        <x:v>23</x:v>
      </x:c>
      <x:c r="F129" s="7" t="s">
        <x:v>23</x:v>
      </x:c>
      <x:c r="G129" s="10">
        <x:v>200</x:v>
      </x:c>
      <x:c r="H129" s="7" t="s">
        <x:v>21</x:v>
      </x:c>
      <x:c r="I129" s="10">
        <x:v>3</x:v>
      </x:c>
      <x:c r="J129" t="str">
        <x:f>IF(A129="","", "SAMP-"&amp;A129&amp;"-L"&amp;TEXT(B129,"00")&amp;"-"&amp;TEXT(C129,"yyyymmdd")&amp;"-"&amp;D129&amp;"-H"&amp;TEXT(E129,"00")&amp;"-"&amp;H129)</x:f>
        <x:v>SAMP-KG01-L25-20251021-ORD-2025-00161-H23-Choke Neck</x:v>
      </x:c>
      <x:c r="K129" t="str">
        <x:f>IF(A129="","",IF(AND(G129&gt;=0,I129&gt;=0,I129&lt;=G129),"OK","CHECK"))</x:f>
        <x:v>OK</x:v>
      </x:c>
      <x:c r="L129" t="str">
        <x:f>IF(A129="","",IF(AND(E129&gt;=0,E129&lt;=23),"OK","CHECK"))</x:f>
        <x:v>OK</x:v>
      </x:c>
      <x:c r="M129" t="str">
        <x:f>IF(A129="","",IF(AND(K129="OK",L129="OK"),"OK","CHECK"))</x:f>
        <x:v>OK</x:v>
      </x:c>
    </x:row>
    <x:row r="130" ht="18" customHeight="1">
      <x:c r="A130" s="7" t="s">
        <x:v>18</x:v>
      </x:c>
      <x:c r="B130" s="7">
        <x:v>25</x:v>
      </x:c>
      <x:c r="C130" s="8">
        <x:v>45952</x:v>
      </x:c>
      <x:c r="D130" s="7" t="s">
        <x:v>42</x:v>
      </x:c>
      <x:c r="E130" s="9">
        <x:v>9</x:v>
      </x:c>
      <x:c r="F130" s="7" t="s">
        <x:v>20</x:v>
      </x:c>
      <x:c r="G130" s="10">
        <x:v>50</x:v>
      </x:c>
      <x:c r="H130" s="7" t="s">
        <x:v>30</x:v>
      </x:c>
      <x:c r="I130" s="10">
        <x:v>0</x:v>
      </x:c>
      <x:c r="J130" t="str">
        <x:f>IF(A130="","", "SAMP-"&amp;A130&amp;"-L"&amp;TEXT(B130,"00")&amp;"-"&amp;TEXT(C130,"yyyymmdd")&amp;"-"&amp;D130&amp;"-H"&amp;TEXT(E130,"00")&amp;"-"&amp;H130)</x:f>
        <x:v>SAMP-KG01-L25-20251022-ORD-2025-00161-H09-Crack</x:v>
      </x:c>
      <x:c r="K130" t="str">
        <x:f>IF(A130="","",IF(AND(G130&gt;=0,I130&gt;=0,I130&lt;=G130),"OK","CHECK"))</x:f>
        <x:v>OK</x:v>
      </x:c>
      <x:c r="L130" t="str">
        <x:f>IF(A130="","",IF(AND(E130&gt;=0,E130&lt;=23),"OK","CHECK"))</x:f>
        <x:v>OK</x:v>
      </x:c>
      <x:c r="M130" t="str">
        <x:f>IF(A130="","",IF(AND(K130="OK",L130="OK"),"OK","CHECK"))</x:f>
        <x:v>OK</x:v>
      </x:c>
    </x:row>
    <x:row r="131" ht="18" customHeight="1">
      <x:c r="A131" s="7" t="s">
        <x:v>18</x:v>
      </x:c>
      <x:c r="B131" s="7">
        <x:v>25</x:v>
      </x:c>
      <x:c r="C131" s="8">
        <x:v>45952</x:v>
      </x:c>
      <x:c r="D131" s="7" t="s">
        <x:v>42</x:v>
      </x:c>
      <x:c r="E131" s="9">
        <x:v>15</x:v>
      </x:c>
      <x:c r="F131" s="7" t="s">
        <x:v>20</x:v>
      </x:c>
      <x:c r="G131" s="10">
        <x:v>100</x:v>
      </x:c>
      <x:c r="H131" s="7" t="s">
        <x:v>30</x:v>
      </x:c>
      <x:c r="I131" s="10">
        <x:v>3</x:v>
      </x:c>
      <x:c r="J131" t="str">
        <x:f>IF(A131="","", "SAMP-"&amp;A131&amp;"-L"&amp;TEXT(B131,"00")&amp;"-"&amp;TEXT(C131,"yyyymmdd")&amp;"-"&amp;D131&amp;"-H"&amp;TEXT(E131,"00")&amp;"-"&amp;H131)</x:f>
        <x:v>SAMP-KG01-L25-20251022-ORD-2025-00161-H15-Crack</x:v>
      </x:c>
      <x:c r="K131" t="str">
        <x:f>IF(A131="","",IF(AND(G131&gt;=0,I131&gt;=0,I131&lt;=G131),"OK","CHECK"))</x:f>
        <x:v>OK</x:v>
      </x:c>
      <x:c r="L131" t="str">
        <x:f>IF(A131="","",IF(AND(E131&gt;=0,E131&lt;=23),"OK","CHECK"))</x:f>
        <x:v>OK</x:v>
      </x:c>
      <x:c r="M131" t="str">
        <x:f>IF(A131="","",IF(AND(K131="OK",L131="OK"),"OK","CHECK"))</x:f>
        <x:v>OK</x:v>
      </x:c>
    </x:row>
    <x:row r="132" ht="18" customHeight="1">
      <x:c r="A132" s="7" t="s">
        <x:v>18</x:v>
      </x:c>
      <x:c r="B132" s="7">
        <x:v>25</x:v>
      </x:c>
      <x:c r="C132" s="8">
        <x:v>45952</x:v>
      </x:c>
      <x:c r="D132" s="7" t="s">
        <x:v>42</x:v>
      </x:c>
      <x:c r="E132" s="9">
        <x:v>20</x:v>
      </x:c>
      <x:c r="F132" s="7" t="s">
        <x:v>23</x:v>
      </x:c>
      <x:c r="G132" s="10">
        <x:v>100</x:v>
      </x:c>
      <x:c r="H132" s="7" t="s">
        <x:v>21</x:v>
      </x:c>
      <x:c r="I132" s="10">
        <x:v>2</x:v>
      </x:c>
      <x:c r="J132" t="str">
        <x:f>IF(A132="","", "SAMP-"&amp;A132&amp;"-L"&amp;TEXT(B132,"00")&amp;"-"&amp;TEXT(C132,"yyyymmdd")&amp;"-"&amp;D132&amp;"-H"&amp;TEXT(E132,"00")&amp;"-"&amp;H132)</x:f>
        <x:v>SAMP-KG01-L25-20251022-ORD-2025-00161-H20-Choke Neck</x:v>
      </x:c>
      <x:c r="K132" t="str">
        <x:f>IF(A132="","",IF(AND(G132&gt;=0,I132&gt;=0,I132&lt;=G132),"OK","CHECK"))</x:f>
        <x:v>OK</x:v>
      </x:c>
      <x:c r="L132" t="str">
        <x:f>IF(A132="","",IF(AND(E132&gt;=0,E132&lt;=23),"OK","CHECK"))</x:f>
        <x:v>OK</x:v>
      </x:c>
      <x:c r="M132" t="str">
        <x:f>IF(A132="","",IF(AND(K132="OK",L132="OK"),"OK","CHECK"))</x:f>
        <x:v>OK</x:v>
      </x:c>
    </x:row>
    <x:row r="133" ht="18" customHeight="1">
      <x:c r="A133" s="7" t="s">
        <x:v>18</x:v>
      </x:c>
      <x:c r="B133" s="7">
        <x:v>25</x:v>
      </x:c>
      <x:c r="C133" s="8">
        <x:v>45952</x:v>
      </x:c>
      <x:c r="D133" s="7" t="s">
        <x:v>42</x:v>
      </x:c>
      <x:c r="E133" s="9">
        <x:v>23</x:v>
      </x:c>
      <x:c r="F133" s="7" t="s">
        <x:v>23</x:v>
      </x:c>
      <x:c r="G133" s="10">
        <x:v>50</x:v>
      </x:c>
      <x:c r="H133" s="7" t="s">
        <x:v>22</x:v>
      </x:c>
      <x:c r="I133" s="10">
        <x:v>1</x:v>
      </x:c>
      <x:c r="J133" t="str">
        <x:f>IF(A133="","", "SAMP-"&amp;A133&amp;"-L"&amp;TEXT(B133,"00")&amp;"-"&amp;TEXT(C133,"yyyymmdd")&amp;"-"&amp;D133&amp;"-H"&amp;TEXT(E133,"00")&amp;"-"&amp;H133)</x:f>
        <x:v>SAMP-KG01-L25-20251022-ORD-2025-00161-H23-Overpress</x:v>
      </x:c>
      <x:c r="K133" t="str">
        <x:f>IF(A133="","",IF(AND(G133&gt;=0,I133&gt;=0,I133&lt;=G133),"OK","CHECK"))</x:f>
        <x:v>OK</x:v>
      </x:c>
      <x:c r="L133" t="str">
        <x:f>IF(A133="","",IF(AND(E133&gt;=0,E133&lt;=23),"OK","CHECK"))</x:f>
        <x:v>OK</x:v>
      </x:c>
      <x:c r="M133" t="str">
        <x:f>IF(A133="","",IF(AND(K133="OK",L133="OK"),"OK","CHECK"))</x:f>
        <x:v>OK</x:v>
      </x:c>
    </x:row>
    <x:row r="134" ht="18" customHeight="1">
      <x:c r="A134" s="7" t="s">
        <x:v>18</x:v>
      </x:c>
      <x:c r="B134" s="7">
        <x:v>25</x:v>
      </x:c>
      <x:c r="C134" s="8">
        <x:v>45953</x:v>
      </x:c>
      <x:c r="D134" s="7" t="s">
        <x:v>43</x:v>
      </x:c>
      <x:c r="E134" s="9">
        <x:v>9</x:v>
      </x:c>
      <x:c r="F134" s="7" t="s">
        <x:v>20</x:v>
      </x:c>
      <x:c r="G134" s="10">
        <x:v>100</x:v>
      </x:c>
      <x:c r="H134" s="7" t="s">
        <x:v>26</x:v>
      </x:c>
      <x:c r="I134" s="10">
        <x:v>2</x:v>
      </x:c>
      <x:c r="J134" t="str">
        <x:f>IF(A134="","", "SAMP-"&amp;A134&amp;"-L"&amp;TEXT(B134,"00")&amp;"-"&amp;TEXT(C134,"yyyymmdd")&amp;"-"&amp;D134&amp;"-H"&amp;TEXT(E134,"00")&amp;"-"&amp;H134)</x:f>
        <x:v>SAMP-KG01-L25-20251023-ORD-2025-00162-H09-Thin Wall</x:v>
      </x:c>
      <x:c r="K134" t="str">
        <x:f>IF(A134="","",IF(AND(G134&gt;=0,I134&gt;=0,I134&lt;=G134),"OK","CHECK"))</x:f>
        <x:v>OK</x:v>
      </x:c>
      <x:c r="L134" t="str">
        <x:f>IF(A134="","",IF(AND(E134&gt;=0,E134&lt;=23),"OK","CHECK"))</x:f>
        <x:v>OK</x:v>
      </x:c>
      <x:c r="M134" t="str">
        <x:f>IF(A134="","",IF(AND(K134="OK",L134="OK"),"OK","CHECK"))</x:f>
        <x:v>OK</x:v>
      </x:c>
    </x:row>
    <x:row r="135" ht="18" customHeight="1">
      <x:c r="A135" s="7" t="s">
        <x:v>18</x:v>
      </x:c>
      <x:c r="B135" s="7">
        <x:v>25</x:v>
      </x:c>
      <x:c r="C135" s="8">
        <x:v>45953</x:v>
      </x:c>
      <x:c r="D135" s="7" t="s">
        <x:v>43</x:v>
      </x:c>
      <x:c r="E135" s="9">
        <x:v>15</x:v>
      </x:c>
      <x:c r="F135" s="7" t="s">
        <x:v>20</x:v>
      </x:c>
      <x:c r="G135" s="10">
        <x:v>200</x:v>
      </x:c>
      <x:c r="H135" s="7" t="s">
        <x:v>33</x:v>
      </x:c>
      <x:c r="I135" s="10">
        <x:v>5</x:v>
      </x:c>
      <x:c r="J135" t="str">
        <x:f>IF(A135="","", "SAMP-"&amp;A135&amp;"-L"&amp;TEXT(B135,"00")&amp;"-"&amp;TEXT(C135,"yyyymmdd")&amp;"-"&amp;D135&amp;"-H"&amp;TEXT(E135,"00")&amp;"-"&amp;H135)</x:f>
        <x:v>SAMP-KG01-L25-20251023-ORD-2025-00162-H15-Chip</x:v>
      </x:c>
      <x:c r="K135" t="str">
        <x:f>IF(A135="","",IF(AND(G135&gt;=0,I135&gt;=0,I135&lt;=G135),"OK","CHECK"))</x:f>
        <x:v>OK</x:v>
      </x:c>
      <x:c r="L135" t="str">
        <x:f>IF(A135="","",IF(AND(E135&gt;=0,E135&lt;=23),"OK","CHECK"))</x:f>
        <x:v>OK</x:v>
      </x:c>
      <x:c r="M135" t="str">
        <x:f>IF(A135="","",IF(AND(K135="OK",L135="OK"),"OK","CHECK"))</x:f>
        <x:v>OK</x:v>
      </x:c>
    </x:row>
    <x:row r="136" ht="18" customHeight="1">
      <x:c r="A136" s="7" t="s">
        <x:v>18</x:v>
      </x:c>
      <x:c r="B136" s="7">
        <x:v>25</x:v>
      </x:c>
      <x:c r="C136" s="8">
        <x:v>45953</x:v>
      </x:c>
      <x:c r="D136" s="7" t="s">
        <x:v>43</x:v>
      </x:c>
      <x:c r="E136" s="9">
        <x:v>20</x:v>
      </x:c>
      <x:c r="F136" s="7" t="s">
        <x:v>23</x:v>
      </x:c>
      <x:c r="G136" s="10">
        <x:v>150</x:v>
      </x:c>
      <x:c r="H136" s="7" t="s">
        <x:v>22</x:v>
      </x:c>
      <x:c r="I136" s="10">
        <x:v>2</x:v>
      </x:c>
      <x:c r="J136" t="str">
        <x:f>IF(A136="","", "SAMP-"&amp;A136&amp;"-L"&amp;TEXT(B136,"00")&amp;"-"&amp;TEXT(C136,"yyyymmdd")&amp;"-"&amp;D136&amp;"-H"&amp;TEXT(E136,"00")&amp;"-"&amp;H136)</x:f>
        <x:v>SAMP-KG01-L25-20251023-ORD-2025-00162-H20-Overpress</x:v>
      </x:c>
      <x:c r="K136" t="str">
        <x:f>IF(A136="","",IF(AND(G136&gt;=0,I136&gt;=0,I136&lt;=G136),"OK","CHECK"))</x:f>
        <x:v>OK</x:v>
      </x:c>
      <x:c r="L136" t="str">
        <x:f>IF(A136="","",IF(AND(E136&gt;=0,E136&lt;=23),"OK","CHECK"))</x:f>
        <x:v>OK</x:v>
      </x:c>
      <x:c r="M136" t="str">
        <x:f>IF(A136="","",IF(AND(K136="OK",L136="OK"),"OK","CHECK"))</x:f>
        <x:v>OK</x:v>
      </x:c>
    </x:row>
    <x:row r="137" ht="18" customHeight="1">
      <x:c r="A137" s="7" t="s">
        <x:v>18</x:v>
      </x:c>
      <x:c r="B137" s="7">
        <x:v>25</x:v>
      </x:c>
      <x:c r="C137" s="8">
        <x:v>45953</x:v>
      </x:c>
      <x:c r="D137" s="7" t="s">
        <x:v>43</x:v>
      </x:c>
      <x:c r="E137" s="9">
        <x:v>23</x:v>
      </x:c>
      <x:c r="F137" s="7" t="s">
        <x:v>23</x:v>
      </x:c>
      <x:c r="G137" s="10">
        <x:v>200</x:v>
      </x:c>
      <x:c r="H137" s="7" t="s">
        <x:v>21</x:v>
      </x:c>
      <x:c r="I137" s="10">
        <x:v>7</x:v>
      </x:c>
      <x:c r="J137" t="str">
        <x:f>IF(A137="","", "SAMP-"&amp;A137&amp;"-L"&amp;TEXT(B137,"00")&amp;"-"&amp;TEXT(C137,"yyyymmdd")&amp;"-"&amp;D137&amp;"-H"&amp;TEXT(E137,"00")&amp;"-"&amp;H137)</x:f>
        <x:v>SAMP-KG01-L25-20251023-ORD-2025-00162-H23-Choke Neck</x:v>
      </x:c>
      <x:c r="K137" t="str">
        <x:f>IF(A137="","",IF(AND(G137&gt;=0,I137&gt;=0,I137&lt;=G137),"OK","CHECK"))</x:f>
        <x:v>OK</x:v>
      </x:c>
      <x:c r="L137" t="str">
        <x:f>IF(A137="","",IF(AND(E137&gt;=0,E137&lt;=23),"OK","CHECK"))</x:f>
        <x:v>OK</x:v>
      </x:c>
      <x:c r="M137" t="str">
        <x:f>IF(A137="","",IF(AND(K137="OK",L137="OK"),"OK","CHECK"))</x:f>
        <x:v>OK</x:v>
      </x:c>
    </x:row>
    <x:row r="138" ht="18" customHeight="1">
      <x:c r="A138" s="7" t="s">
        <x:v>18</x:v>
      </x:c>
      <x:c r="B138" s="7">
        <x:v>25</x:v>
      </x:c>
      <x:c r="C138" s="8">
        <x:v>45954</x:v>
      </x:c>
      <x:c r="D138" s="7" t="s">
        <x:v>43</x:v>
      </x:c>
      <x:c r="E138" s="9">
        <x:v>9</x:v>
      </x:c>
      <x:c r="F138" s="7" t="s">
        <x:v>20</x:v>
      </x:c>
      <x:c r="G138" s="10">
        <x:v>200</x:v>
      </x:c>
      <x:c r="H138" s="7" t="s">
        <x:v>28</x:v>
      </x:c>
      <x:c r="I138" s="10">
        <x:v>4</x:v>
      </x:c>
      <x:c r="J138" t="str">
        <x:f>IF(A138="","", "SAMP-"&amp;A138&amp;"-L"&amp;TEXT(B138,"00")&amp;"-"&amp;TEXT(C138,"yyyymmdd")&amp;"-"&amp;D138&amp;"-H"&amp;TEXT(E138,"00")&amp;"-"&amp;H138)</x:f>
        <x:v>SAMP-KG01-L25-20251024-ORD-2025-00162-H09-Blister</x:v>
      </x:c>
      <x:c r="K138" t="str">
        <x:f>IF(A138="","",IF(AND(G138&gt;=0,I138&gt;=0,I138&lt;=G138),"OK","CHECK"))</x:f>
        <x:v>OK</x:v>
      </x:c>
      <x:c r="L138" t="str">
        <x:f>IF(A138="","",IF(AND(E138&gt;=0,E138&lt;=23),"OK","CHECK"))</x:f>
        <x:v>OK</x:v>
      </x:c>
      <x:c r="M138" t="str">
        <x:f>IF(A138="","",IF(AND(K138="OK",L138="OK"),"OK","CHECK"))</x:f>
        <x:v>OK</x:v>
      </x:c>
    </x:row>
    <x:row r="139" ht="18" customHeight="1">
      <x:c r="A139" s="7" t="s">
        <x:v>18</x:v>
      </x:c>
      <x:c r="B139" s="7">
        <x:v>25</x:v>
      </x:c>
      <x:c r="C139" s="8">
        <x:v>45954</x:v>
      </x:c>
      <x:c r="D139" s="7" t="s">
        <x:v>43</x:v>
      </x:c>
      <x:c r="E139" s="9">
        <x:v>15</x:v>
      </x:c>
      <x:c r="F139" s="7" t="s">
        <x:v>20</x:v>
      </x:c>
      <x:c r="G139" s="10">
        <x:v>150</x:v>
      </x:c>
      <x:c r="H139" s="7" t="s">
        <x:v>26</x:v>
      </x:c>
      <x:c r="I139" s="10">
        <x:v>5</x:v>
      </x:c>
      <x:c r="J139" t="str">
        <x:f>IF(A139="","", "SAMP-"&amp;A139&amp;"-L"&amp;TEXT(B139,"00")&amp;"-"&amp;TEXT(C139,"yyyymmdd")&amp;"-"&amp;D139&amp;"-H"&amp;TEXT(E139,"00")&amp;"-"&amp;H139)</x:f>
        <x:v>SAMP-KG01-L25-20251024-ORD-2025-00162-H15-Thin Wall</x:v>
      </x:c>
      <x:c r="K139" t="str">
        <x:f>IF(A139="","",IF(AND(G139&gt;=0,I139&gt;=0,I139&lt;=G139),"OK","CHECK"))</x:f>
        <x:v>OK</x:v>
      </x:c>
      <x:c r="L139" t="str">
        <x:f>IF(A139="","",IF(AND(E139&gt;=0,E139&lt;=23),"OK","CHECK"))</x:f>
        <x:v>OK</x:v>
      </x:c>
      <x:c r="M139" t="str">
        <x:f>IF(A139="","",IF(AND(K139="OK",L139="OK"),"OK","CHECK"))</x:f>
        <x:v>OK</x:v>
      </x:c>
    </x:row>
    <x:row r="140" ht="18" customHeight="1">
      <x:c r="A140" s="7" t="s">
        <x:v>18</x:v>
      </x:c>
      <x:c r="B140" s="7">
        <x:v>25</x:v>
      </x:c>
      <x:c r="C140" s="8">
        <x:v>45954</x:v>
      </x:c>
      <x:c r="D140" s="7" t="s">
        <x:v>43</x:v>
      </x:c>
      <x:c r="E140" s="9">
        <x:v>20</x:v>
      </x:c>
      <x:c r="F140" s="7" t="s">
        <x:v>23</x:v>
      </x:c>
      <x:c r="G140" s="10">
        <x:v>100</x:v>
      </x:c>
      <x:c r="H140" s="7" t="s">
        <x:v>21</x:v>
      </x:c>
      <x:c r="I140" s="10">
        <x:v>3</x:v>
      </x:c>
      <x:c r="J140" t="str">
        <x:f>IF(A140="","", "SAMP-"&amp;A140&amp;"-L"&amp;TEXT(B140,"00")&amp;"-"&amp;TEXT(C140,"yyyymmdd")&amp;"-"&amp;D140&amp;"-H"&amp;TEXT(E140,"00")&amp;"-"&amp;H140)</x:f>
        <x:v>SAMP-KG01-L25-20251024-ORD-2025-00162-H20-Choke Neck</x:v>
      </x:c>
      <x:c r="K140" t="str">
        <x:f>IF(A140="","",IF(AND(G140&gt;=0,I140&gt;=0,I140&lt;=G140),"OK","CHECK"))</x:f>
        <x:v>OK</x:v>
      </x:c>
      <x:c r="L140" t="str">
        <x:f>IF(A140="","",IF(AND(E140&gt;=0,E140&lt;=23),"OK","CHECK"))</x:f>
        <x:v>OK</x:v>
      </x:c>
      <x:c r="M140" t="str">
        <x:f>IF(A140="","",IF(AND(K140="OK",L140="OK"),"OK","CHECK"))</x:f>
        <x:v>OK</x:v>
      </x:c>
    </x:row>
    <x:row r="141" ht="18" customHeight="1">
      <x:c r="A141" s="7" t="s">
        <x:v>18</x:v>
      </x:c>
      <x:c r="B141" s="7">
        <x:v>25</x:v>
      </x:c>
      <x:c r="C141" s="8">
        <x:v>45954</x:v>
      </x:c>
      <x:c r="D141" s="7" t="s">
        <x:v>43</x:v>
      </x:c>
      <x:c r="E141" s="9">
        <x:v>23</x:v>
      </x:c>
      <x:c r="F141" s="7" t="s">
        <x:v>23</x:v>
      </x:c>
      <x:c r="G141" s="10">
        <x:v>50</x:v>
      </x:c>
      <x:c r="H141" s="7" t="s">
        <x:v>33</x:v>
      </x:c>
      <x:c r="I141" s="10">
        <x:v>1</x:v>
      </x:c>
      <x:c r="J141" t="str">
        <x:f>IF(A141="","", "SAMP-"&amp;A141&amp;"-L"&amp;TEXT(B141,"00")&amp;"-"&amp;TEXT(C141,"yyyymmdd")&amp;"-"&amp;D141&amp;"-H"&amp;TEXT(E141,"00")&amp;"-"&amp;H141)</x:f>
        <x:v>SAMP-KG01-L25-20251024-ORD-2025-00162-H23-Chip</x:v>
      </x:c>
      <x:c r="K141" t="str">
        <x:f>IF(A141="","",IF(AND(G141&gt;=0,I141&gt;=0,I141&lt;=G141),"OK","CHECK"))</x:f>
        <x:v>OK</x:v>
      </x:c>
      <x:c r="L141" t="str">
        <x:f>IF(A141="","",IF(AND(E141&gt;=0,E141&lt;=23),"OK","CHECK"))</x:f>
        <x:v>OK</x:v>
      </x:c>
      <x:c r="M141" t="str">
        <x:f>IF(A141="","",IF(AND(K141="OK",L141="OK"),"OK","CHECK"))</x:f>
        <x:v>OK</x:v>
      </x:c>
    </x:row>
    <x:row r="142" ht="18" customHeight="1">
      <x:c r="A142" s="7" t="s">
        <x:v>18</x:v>
      </x:c>
      <x:c r="B142" s="7">
        <x:v>25</x:v>
      </x:c>
      <x:c r="C142" s="8">
        <x:v>45955</x:v>
      </x:c>
      <x:c r="D142" s="7" t="s">
        <x:v>43</x:v>
      </x:c>
      <x:c r="E142" s="9">
        <x:v>9</x:v>
      </x:c>
      <x:c r="F142" s="7" t="s">
        <x:v>20</x:v>
      </x:c>
      <x:c r="G142" s="10">
        <x:v>200</x:v>
      </x:c>
      <x:c r="H142" s="7" t="s">
        <x:v>21</x:v>
      </x:c>
      <x:c r="I142" s="10">
        <x:v>1</x:v>
      </x:c>
      <x:c r="J142" t="str">
        <x:f>IF(A142="","", "SAMP-"&amp;A142&amp;"-L"&amp;TEXT(B142,"00")&amp;"-"&amp;TEXT(C142,"yyyymmdd")&amp;"-"&amp;D142&amp;"-H"&amp;TEXT(E142,"00")&amp;"-"&amp;H142)</x:f>
        <x:v>SAMP-KG01-L25-20251025-ORD-2025-00162-H09-Choke Neck</x:v>
      </x:c>
      <x:c r="K142" t="str">
        <x:f>IF(A142="","",IF(AND(G142&gt;=0,I142&gt;=0,I142&lt;=G142),"OK","CHECK"))</x:f>
        <x:v>OK</x:v>
      </x:c>
      <x:c r="L142" t="str">
        <x:f>IF(A142="","",IF(AND(E142&gt;=0,E142&lt;=23),"OK","CHECK"))</x:f>
        <x:v>OK</x:v>
      </x:c>
      <x:c r="M142" t="str">
        <x:f>IF(A142="","",IF(AND(K142="OK",L142="OK"),"OK","CHECK"))</x:f>
        <x:v>OK</x:v>
      </x:c>
    </x:row>
    <x:row r="143" ht="18" customHeight="1">
      <x:c r="A143" s="7" t="s">
        <x:v>18</x:v>
      </x:c>
      <x:c r="B143" s="7">
        <x:v>25</x:v>
      </x:c>
      <x:c r="C143" s="8">
        <x:v>45955</x:v>
      </x:c>
      <x:c r="D143" s="7" t="s">
        <x:v>43</x:v>
      </x:c>
      <x:c r="E143" s="9">
        <x:v>15</x:v>
      </x:c>
      <x:c r="F143" s="7" t="s">
        <x:v>20</x:v>
      </x:c>
      <x:c r="G143" s="10">
        <x:v>100</x:v>
      </x:c>
      <x:c r="H143" s="7" t="s">
        <x:v>25</x:v>
      </x:c>
      <x:c r="I143" s="10">
        <x:v>3</x:v>
      </x:c>
      <x:c r="J143" t="str">
        <x:f>IF(A143="","", "SAMP-"&amp;A143&amp;"-L"&amp;TEXT(B143,"00")&amp;"-"&amp;TEXT(C143,"yyyymmdd")&amp;"-"&amp;D143&amp;"-H"&amp;TEXT(E143,"00")&amp;"-"&amp;H143)</x:f>
        <x:v>SAMP-KG01-L25-20251025-ORD-2025-00162-H15-Distortion</x:v>
      </x:c>
      <x:c r="K143" t="str">
        <x:f>IF(A143="","",IF(AND(G143&gt;=0,I143&gt;=0,I143&lt;=G143),"OK","CHECK"))</x:f>
        <x:v>OK</x:v>
      </x:c>
      <x:c r="L143" t="str">
        <x:f>IF(A143="","",IF(AND(E143&gt;=0,E143&lt;=23),"OK","CHECK"))</x:f>
        <x:v>OK</x:v>
      </x:c>
      <x:c r="M143" t="str">
        <x:f>IF(A143="","",IF(AND(K143="OK",L143="OK"),"OK","CHECK"))</x:f>
        <x:v>OK</x:v>
      </x:c>
    </x:row>
    <x:row r="144" ht="18" customHeight="1">
      <x:c r="A144" s="7" t="s">
        <x:v>18</x:v>
      </x:c>
      <x:c r="B144" s="7">
        <x:v>25</x:v>
      </x:c>
      <x:c r="C144" s="8">
        <x:v>45955</x:v>
      </x:c>
      <x:c r="D144" s="7" t="s">
        <x:v>43</x:v>
      </x:c>
      <x:c r="E144" s="9">
        <x:v>20</x:v>
      </x:c>
      <x:c r="F144" s="7" t="s">
        <x:v>23</x:v>
      </x:c>
      <x:c r="G144" s="10">
        <x:v>200</x:v>
      </x:c>
      <x:c r="H144" s="7" t="s">
        <x:v>26</x:v>
      </x:c>
      <x:c r="I144" s="10">
        <x:v>1</x:v>
      </x:c>
      <x:c r="J144" t="str">
        <x:f>IF(A144="","", "SAMP-"&amp;A144&amp;"-L"&amp;TEXT(B144,"00")&amp;"-"&amp;TEXT(C144,"yyyymmdd")&amp;"-"&amp;D144&amp;"-H"&amp;TEXT(E144,"00")&amp;"-"&amp;H144)</x:f>
        <x:v>SAMP-KG01-L25-20251025-ORD-2025-00162-H20-Thin Wall</x:v>
      </x:c>
      <x:c r="K144" t="str">
        <x:f>IF(A144="","",IF(AND(G144&gt;=0,I144&gt;=0,I144&lt;=G144),"OK","CHECK"))</x:f>
        <x:v>OK</x:v>
      </x:c>
      <x:c r="L144" t="str">
        <x:f>IF(A144="","",IF(AND(E144&gt;=0,E144&lt;=23),"OK","CHECK"))</x:f>
        <x:v>OK</x:v>
      </x:c>
      <x:c r="M144" t="str">
        <x:f>IF(A144="","",IF(AND(K144="OK",L144="OK"),"OK","CHECK"))</x:f>
        <x:v>OK</x:v>
      </x:c>
    </x:row>
    <x:row r="145" ht="18" customHeight="1">
      <x:c r="A145" s="7" t="s">
        <x:v>18</x:v>
      </x:c>
      <x:c r="B145" s="7">
        <x:v>25</x:v>
      </x:c>
      <x:c r="C145" s="8">
        <x:v>45955</x:v>
      </x:c>
      <x:c r="D145" s="7" t="s">
        <x:v>43</x:v>
      </x:c>
      <x:c r="E145" s="9">
        <x:v>23</x:v>
      </x:c>
      <x:c r="F145" s="7" t="s">
        <x:v>23</x:v>
      </x:c>
      <x:c r="G145" s="10">
        <x:v>50</x:v>
      </x:c>
      <x:c r="H145" s="7" t="s">
        <x:v>26</x:v>
      </x:c>
      <x:c r="I145" s="10">
        <x:v>0</x:v>
      </x:c>
      <x:c r="J145" t="str">
        <x:f>IF(A145="","", "SAMP-"&amp;A145&amp;"-L"&amp;TEXT(B145,"00")&amp;"-"&amp;TEXT(C145,"yyyymmdd")&amp;"-"&amp;D145&amp;"-H"&amp;TEXT(E145,"00")&amp;"-"&amp;H145)</x:f>
        <x:v>SAMP-KG01-L25-20251025-ORD-2025-00162-H23-Thin Wall</x:v>
      </x:c>
      <x:c r="K145" t="str">
        <x:f>IF(A145="","",IF(AND(G145&gt;=0,I145&gt;=0,I145&lt;=G145),"OK","CHECK"))</x:f>
        <x:v>OK</x:v>
      </x:c>
      <x:c r="L145" t="str">
        <x:f>IF(A145="","",IF(AND(E145&gt;=0,E145&lt;=23),"OK","CHECK"))</x:f>
        <x:v>OK</x:v>
      </x:c>
      <x:c r="M145" t="str">
        <x:f>IF(A145="","",IF(AND(K145="OK",L145="OK"),"OK","CHECK"))</x:f>
        <x:v>OK</x:v>
      </x:c>
    </x:row>
    <x:row r="146" ht="18" customHeight="1">
      <x:c r="A146" s="7" t="s">
        <x:v>18</x:v>
      </x:c>
      <x:c r="B146" s="7">
        <x:v>25</x:v>
      </x:c>
      <x:c r="C146" s="8">
        <x:v>45956</x:v>
      </x:c>
      <x:c r="D146" s="7" t="s">
        <x:v>43</x:v>
      </x:c>
      <x:c r="E146" s="9">
        <x:v>9</x:v>
      </x:c>
      <x:c r="F146" s="7" t="s">
        <x:v>20</x:v>
      </x:c>
      <x:c r="G146" s="10">
        <x:v>150</x:v>
      </x:c>
      <x:c r="H146" s="7" t="s">
        <x:v>28</x:v>
      </x:c>
      <x:c r="I146" s="10">
        <x:v>3</x:v>
      </x:c>
      <x:c r="J146" t="str">
        <x:f>IF(A146="","", "SAMP-"&amp;A146&amp;"-L"&amp;TEXT(B146,"00")&amp;"-"&amp;TEXT(C146,"yyyymmdd")&amp;"-"&amp;D146&amp;"-H"&amp;TEXT(E146,"00")&amp;"-"&amp;H146)</x:f>
        <x:v>SAMP-KG01-L25-20251026-ORD-2025-00162-H09-Blister</x:v>
      </x:c>
      <x:c r="K146" t="str">
        <x:f>IF(A146="","",IF(AND(G146&gt;=0,I146&gt;=0,I146&lt;=G146),"OK","CHECK"))</x:f>
        <x:v>OK</x:v>
      </x:c>
      <x:c r="L146" t="str">
        <x:f>IF(A146="","",IF(AND(E146&gt;=0,E146&lt;=23),"OK","CHECK"))</x:f>
        <x:v>OK</x:v>
      </x:c>
      <x:c r="M146" t="str">
        <x:f>IF(A146="","",IF(AND(K146="OK",L146="OK"),"OK","CHECK"))</x:f>
        <x:v>OK</x:v>
      </x:c>
    </x:row>
    <x:row r="147" ht="18" customHeight="1">
      <x:c r="A147" s="7" t="s">
        <x:v>18</x:v>
      </x:c>
      <x:c r="B147" s="7">
        <x:v>25</x:v>
      </x:c>
      <x:c r="C147" s="8">
        <x:v>45956</x:v>
      </x:c>
      <x:c r="D147" s="7" t="s">
        <x:v>43</x:v>
      </x:c>
      <x:c r="E147" s="9">
        <x:v>15</x:v>
      </x:c>
      <x:c r="F147" s="7" t="s">
        <x:v>20</x:v>
      </x:c>
      <x:c r="G147" s="10">
        <x:v>200</x:v>
      </x:c>
      <x:c r="H147" s="7" t="s">
        <x:v>22</x:v>
      </x:c>
      <x:c r="I147" s="10">
        <x:v>7</x:v>
      </x:c>
      <x:c r="J147" t="str">
        <x:f>IF(A147="","", "SAMP-"&amp;A147&amp;"-L"&amp;TEXT(B147,"00")&amp;"-"&amp;TEXT(C147,"yyyymmdd")&amp;"-"&amp;D147&amp;"-H"&amp;TEXT(E147,"00")&amp;"-"&amp;H147)</x:f>
        <x:v>SAMP-KG01-L25-20251026-ORD-2025-00162-H15-Overpress</x:v>
      </x:c>
      <x:c r="K147" t="str">
        <x:f>IF(A147="","",IF(AND(G147&gt;=0,I147&gt;=0,I147&lt;=G147),"OK","CHECK"))</x:f>
        <x:v>OK</x:v>
      </x:c>
      <x:c r="L147" t="str">
        <x:f>IF(A147="","",IF(AND(E147&gt;=0,E147&lt;=23),"OK","CHECK"))</x:f>
        <x:v>OK</x:v>
      </x:c>
      <x:c r="M147" t="str">
        <x:f>IF(A147="","",IF(AND(K147="OK",L147="OK"),"OK","CHECK"))</x:f>
        <x:v>OK</x:v>
      </x:c>
    </x:row>
    <x:row r="148" ht="18" customHeight="1">
      <x:c r="A148" s="7" t="s">
        <x:v>18</x:v>
      </x:c>
      <x:c r="B148" s="7">
        <x:v>25</x:v>
      </x:c>
      <x:c r="C148" s="8">
        <x:v>45956</x:v>
      </x:c>
      <x:c r="D148" s="7" t="s">
        <x:v>43</x:v>
      </x:c>
      <x:c r="E148" s="9">
        <x:v>20</x:v>
      </x:c>
      <x:c r="F148" s="7" t="s">
        <x:v>23</x:v>
      </x:c>
      <x:c r="G148" s="10">
        <x:v>200</x:v>
      </x:c>
      <x:c r="H148" s="7" t="s">
        <x:v>27</x:v>
      </x:c>
      <x:c r="I148" s="10">
        <x:v>4</x:v>
      </x:c>
      <x:c r="J148" t="str">
        <x:f>IF(A148="","", "SAMP-"&amp;A148&amp;"-L"&amp;TEXT(B148,"00")&amp;"-"&amp;TEXT(C148,"yyyymmdd")&amp;"-"&amp;D148&amp;"-H"&amp;TEXT(E148,"00")&amp;"-"&amp;H148)</x:f>
        <x:v>SAMP-KG01-L25-20251026-ORD-2025-00162-H20-Stone</x:v>
      </x:c>
      <x:c r="K148" t="str">
        <x:f>IF(A148="","",IF(AND(G148&gt;=0,I148&gt;=0,I148&lt;=G148),"OK","CHECK"))</x:f>
        <x:v>OK</x:v>
      </x:c>
      <x:c r="L148" t="str">
        <x:f>IF(A148="","",IF(AND(E148&gt;=0,E148&lt;=23),"OK","CHECK"))</x:f>
        <x:v>OK</x:v>
      </x:c>
      <x:c r="M148" t="str">
        <x:f>IF(A148="","",IF(AND(K148="OK",L148="OK"),"OK","CHECK"))</x:f>
        <x:v>OK</x:v>
      </x:c>
    </x:row>
    <x:row r="149" ht="18" customHeight="1">
      <x:c r="A149" s="7" t="s">
        <x:v>18</x:v>
      </x:c>
      <x:c r="B149" s="7">
        <x:v>25</x:v>
      </x:c>
      <x:c r="C149" s="8">
        <x:v>45956</x:v>
      </x:c>
      <x:c r="D149" s="7" t="s">
        <x:v>43</x:v>
      </x:c>
      <x:c r="E149" s="9">
        <x:v>23</x:v>
      </x:c>
      <x:c r="F149" s="7" t="s">
        <x:v>23</x:v>
      </x:c>
      <x:c r="G149" s="10">
        <x:v>100</x:v>
      </x:c>
      <x:c r="H149" s="7" t="s">
        <x:v>30</x:v>
      </x:c>
      <x:c r="I149" s="10">
        <x:v>4</x:v>
      </x:c>
      <x:c r="J149" t="str">
        <x:f>IF(A149="","", "SAMP-"&amp;A149&amp;"-L"&amp;TEXT(B149,"00")&amp;"-"&amp;TEXT(C149,"yyyymmdd")&amp;"-"&amp;D149&amp;"-H"&amp;TEXT(E149,"00")&amp;"-"&amp;H149)</x:f>
        <x:v>SAMP-KG01-L25-20251026-ORD-2025-00162-H23-Crack</x:v>
      </x:c>
      <x:c r="K149" t="str">
        <x:f>IF(A149="","",IF(AND(G149&gt;=0,I149&gt;=0,I149&lt;=G149),"OK","CHECK"))</x:f>
        <x:v>OK</x:v>
      </x:c>
      <x:c r="L149" t="str">
        <x:f>IF(A149="","",IF(AND(E149&gt;=0,E149&lt;=23),"OK","CHECK"))</x:f>
        <x:v>OK</x:v>
      </x:c>
      <x:c r="M149" t="str">
        <x:f>IF(A149="","",IF(AND(K149="OK",L149="OK"),"OK","CHECK"))</x:f>
        <x:v>OK</x:v>
      </x:c>
    </x:row>
    <x:row r="150" ht="18" customHeight="1">
      <x:c r="J150" t="str">
        <x:f>IF(A150="","", "SAMP-"&amp;A150&amp;"-L"&amp;TEXT(B150,"00")&amp;"-"&amp;TEXT(C150,"yyyymmdd")&amp;"-"&amp;D150&amp;"-H"&amp;TEXT(E150,"00")&amp;"-"&amp;H150)</x:f>
      </x:c>
      <x:c r="K150" t="str">
        <x:f>IF(A150="","",IF(AND(G150&gt;=0,I150&gt;=0,I150&lt;=G150),"OK","CHECK"))</x:f>
      </x:c>
      <x:c r="L150" t="str">
        <x:f>IF(A150="","",IF(AND(E150&gt;=0,E150&lt;=23),"OK","CHECK"))</x:f>
      </x:c>
      <x:c r="M150" t="str">
        <x:f>IF(A150="","",IF(AND(K150="OK",L150="OK"),"OK","CHECK"))</x:f>
      </x:c>
    </x:row>
    <x:row r="151" ht="18" customHeight="1">
      <x:c r="J151" t="str">
        <x:f>IF(A151="","", "SAMP-"&amp;A151&amp;"-L"&amp;TEXT(B151,"00")&amp;"-"&amp;TEXT(C151,"yyyymmdd")&amp;"-"&amp;D151&amp;"-H"&amp;TEXT(E151,"00")&amp;"-"&amp;H151)</x:f>
      </x:c>
      <x:c r="K151" t="str">
        <x:f>IF(A151="","",IF(AND(G151&gt;=0,I151&gt;=0,I151&lt;=G151),"OK","CHECK"))</x:f>
      </x:c>
      <x:c r="L151" t="str">
        <x:f>IF(A151="","",IF(AND(E151&gt;=0,E151&lt;=23),"OK","CHECK"))</x:f>
      </x:c>
      <x:c r="M151" t="str">
        <x:f>IF(A151="","",IF(AND(K151="OK",L151="OK"),"OK","CHECK"))</x:f>
      </x:c>
    </x:row>
    <x:row r="152" ht="18" customHeight="1">
      <x:c r="J152" t="str">
        <x:f>IF(A152="","", "SAMP-"&amp;A152&amp;"-L"&amp;TEXT(B152,"00")&amp;"-"&amp;TEXT(C152,"yyyymmdd")&amp;"-"&amp;D152&amp;"-H"&amp;TEXT(E152,"00")&amp;"-"&amp;H152)</x:f>
      </x:c>
      <x:c r="K152" t="str">
        <x:f>IF(A152="","",IF(AND(G152&gt;=0,I152&gt;=0,I152&lt;=G152),"OK","CHECK"))</x:f>
      </x:c>
      <x:c r="L152" t="str">
        <x:f>IF(A152="","",IF(AND(E152&gt;=0,E152&lt;=23),"OK","CHECK"))</x:f>
      </x:c>
      <x:c r="M152" t="str">
        <x:f>IF(A152="","",IF(AND(K152="OK",L152="OK"),"OK","CHECK"))</x:f>
      </x:c>
    </x:row>
    <x:row r="153" ht="18" customHeight="1">
      <x:c r="J153" t="str">
        <x:f>IF(A153="","", "SAMP-"&amp;A153&amp;"-L"&amp;TEXT(B153,"00")&amp;"-"&amp;TEXT(C153,"yyyymmdd")&amp;"-"&amp;D153&amp;"-H"&amp;TEXT(E153,"00")&amp;"-"&amp;H153)</x:f>
      </x:c>
      <x:c r="K153" t="str">
        <x:f>IF(A153="","",IF(AND(G153&gt;=0,I153&gt;=0,I153&lt;=G153),"OK","CHECK"))</x:f>
      </x:c>
      <x:c r="L153" t="str">
        <x:f>IF(A153="","",IF(AND(E153&gt;=0,E153&lt;=23),"OK","CHECK"))</x:f>
      </x:c>
      <x:c r="M153" t="str">
        <x:f>IF(A153="","",IF(AND(K153="OK",L153="OK"),"OK","CHECK"))</x:f>
      </x:c>
    </x:row>
    <x:row r="154" ht="18" customHeight="1">
      <x:c r="J154" t="str">
        <x:f>IF(A154="","", "SAMP-"&amp;A154&amp;"-L"&amp;TEXT(B154,"00")&amp;"-"&amp;TEXT(C154,"yyyymmdd")&amp;"-"&amp;D154&amp;"-H"&amp;TEXT(E154,"00")&amp;"-"&amp;H154)</x:f>
      </x:c>
      <x:c r="K154" t="str">
        <x:f>IF(A154="","",IF(AND(G154&gt;=0,I154&gt;=0,I154&lt;=G154),"OK","CHECK"))</x:f>
      </x:c>
      <x:c r="L154" t="str">
        <x:f>IF(A154="","",IF(AND(E154&gt;=0,E154&lt;=23),"OK","CHECK"))</x:f>
      </x:c>
      <x:c r="M154" t="str">
        <x:f>IF(A154="","",IF(AND(K154="OK",L154="OK"),"OK","CHECK"))</x:f>
      </x:c>
    </x:row>
    <x:row r="155" ht="18" customHeight="1">
      <x:c r="J155" t="str">
        <x:f>IF(A155="","", "SAMP-"&amp;A155&amp;"-L"&amp;TEXT(B155,"00")&amp;"-"&amp;TEXT(C155,"yyyymmdd")&amp;"-"&amp;D155&amp;"-H"&amp;TEXT(E155,"00")&amp;"-"&amp;H155)</x:f>
      </x:c>
      <x:c r="K155" t="str">
        <x:f>IF(A155="","",IF(AND(G155&gt;=0,I155&gt;=0,I155&lt;=G155),"OK","CHECK"))</x:f>
      </x:c>
      <x:c r="L155" t="str">
        <x:f>IF(A155="","",IF(AND(E155&gt;=0,E155&lt;=23),"OK","CHECK"))</x:f>
      </x:c>
      <x:c r="M155" t="str">
        <x:f>IF(A155="","",IF(AND(K155="OK",L155="OK"),"OK","CHECK"))</x:f>
      </x:c>
    </x:row>
    <x:row r="156" ht="18" customHeight="1">
      <x:c r="J156" t="str">
        <x:f>IF(A156="","", "SAMP-"&amp;A156&amp;"-L"&amp;TEXT(B156,"00")&amp;"-"&amp;TEXT(C156,"yyyymmdd")&amp;"-"&amp;D156&amp;"-H"&amp;TEXT(E156,"00")&amp;"-"&amp;H156)</x:f>
      </x:c>
      <x:c r="K156" t="str">
        <x:f>IF(A156="","",IF(AND(G156&gt;=0,I156&gt;=0,I156&lt;=G156),"OK","CHECK"))</x:f>
      </x:c>
      <x:c r="L156" t="str">
        <x:f>IF(A156="","",IF(AND(E156&gt;=0,E156&lt;=23),"OK","CHECK"))</x:f>
      </x:c>
      <x:c r="M156" t="str">
        <x:f>IF(A156="","",IF(AND(K156="OK",L156="OK"),"OK","CHECK"))</x:f>
      </x:c>
    </x:row>
    <x:row r="157" ht="18" customHeight="1">
      <x:c r="J157" t="str">
        <x:f>IF(A157="","", "SAMP-"&amp;A157&amp;"-L"&amp;TEXT(B157,"00")&amp;"-"&amp;TEXT(C157,"yyyymmdd")&amp;"-"&amp;D157&amp;"-H"&amp;TEXT(E157,"00")&amp;"-"&amp;H157)</x:f>
      </x:c>
      <x:c r="K157" t="str">
        <x:f>IF(A157="","",IF(AND(G157&gt;=0,I157&gt;=0,I157&lt;=G157),"OK","CHECK"))</x:f>
      </x:c>
      <x:c r="L157" t="str">
        <x:f>IF(A157="","",IF(AND(E157&gt;=0,E157&lt;=23),"OK","CHECK"))</x:f>
      </x:c>
      <x:c r="M157" t="str">
        <x:f>IF(A157="","",IF(AND(K157="OK",L157="OK"),"OK","CHECK"))</x:f>
      </x:c>
    </x:row>
    <x:row r="158" ht="18" customHeight="1">
      <x:c r="J158" t="str">
        <x:f>IF(A158="","", "SAMP-"&amp;A158&amp;"-L"&amp;TEXT(B158,"00")&amp;"-"&amp;TEXT(C158,"yyyymmdd")&amp;"-"&amp;D158&amp;"-H"&amp;TEXT(E158,"00")&amp;"-"&amp;H158)</x:f>
      </x:c>
      <x:c r="K158" t="str">
        <x:f>IF(A158="","",IF(AND(G158&gt;=0,I158&gt;=0,I158&lt;=G158),"OK","CHECK"))</x:f>
      </x:c>
      <x:c r="L158" t="str">
        <x:f>IF(A158="","",IF(AND(E158&gt;=0,E158&lt;=23),"OK","CHECK"))</x:f>
      </x:c>
      <x:c r="M158" t="str">
        <x:f>IF(A158="","",IF(AND(K158="OK",L158="OK"),"OK","CHECK"))</x:f>
      </x:c>
    </x:row>
    <x:row r="159" ht="18" customHeight="1">
      <x:c r="J159" t="str">
        <x:f>IF(A159="","", "SAMP-"&amp;A159&amp;"-L"&amp;TEXT(B159,"00")&amp;"-"&amp;TEXT(C159,"yyyymmdd")&amp;"-"&amp;D159&amp;"-H"&amp;TEXT(E159,"00")&amp;"-"&amp;H159)</x:f>
      </x:c>
      <x:c r="K159" t="str">
        <x:f>IF(A159="","",IF(AND(G159&gt;=0,I159&gt;=0,I159&lt;=G159),"OK","CHECK"))</x:f>
      </x:c>
      <x:c r="L159" t="str">
        <x:f>IF(A159="","",IF(AND(E159&gt;=0,E159&lt;=23),"OK","CHECK"))</x:f>
      </x:c>
      <x:c r="M159" t="str">
        <x:f>IF(A159="","",IF(AND(K159="OK",L159="OK"),"OK","CHECK"))</x:f>
      </x:c>
    </x:row>
    <x:row r="160" ht="18" customHeight="1">
      <x:c r="J160" t="str">
        <x:f>IF(A160="","", "SAMP-"&amp;A160&amp;"-L"&amp;TEXT(B160,"00")&amp;"-"&amp;TEXT(C160,"yyyymmdd")&amp;"-"&amp;D160&amp;"-H"&amp;TEXT(E160,"00")&amp;"-"&amp;H160)</x:f>
      </x:c>
      <x:c r="K160" t="str">
        <x:f>IF(A160="","",IF(AND(G160&gt;=0,I160&gt;=0,I160&lt;=G160),"OK","CHECK"))</x:f>
      </x:c>
      <x:c r="L160" t="str">
        <x:f>IF(A160="","",IF(AND(E160&gt;=0,E160&lt;=23),"OK","CHECK"))</x:f>
      </x:c>
      <x:c r="M160" t="str">
        <x:f>IF(A160="","",IF(AND(K160="OK",L160="OK"),"OK","CHECK"))</x:f>
      </x:c>
    </x:row>
    <x:row r="161" ht="18" customHeight="1">
      <x:c r="J161" t="str">
        <x:f>IF(A161="","", "SAMP-"&amp;A161&amp;"-L"&amp;TEXT(B161,"00")&amp;"-"&amp;TEXT(C161,"yyyymmdd")&amp;"-"&amp;D161&amp;"-H"&amp;TEXT(E161,"00")&amp;"-"&amp;H161)</x:f>
      </x:c>
      <x:c r="K161" t="str">
        <x:f>IF(A161="","",IF(AND(G161&gt;=0,I161&gt;=0,I161&lt;=G161),"OK","CHECK"))</x:f>
      </x:c>
      <x:c r="L161" t="str">
        <x:f>IF(A161="","",IF(AND(E161&gt;=0,E161&lt;=23),"OK","CHECK"))</x:f>
      </x:c>
      <x:c r="M161" t="str">
        <x:f>IF(A161="","",IF(AND(K161="OK",L161="OK"),"OK","CHECK"))</x:f>
      </x:c>
    </x:row>
    <x:row r="162" ht="18" customHeight="1">
      <x:c r="J162" t="str">
        <x:f>IF(A162="","", "SAMP-"&amp;A162&amp;"-L"&amp;TEXT(B162,"00")&amp;"-"&amp;TEXT(C162,"yyyymmdd")&amp;"-"&amp;D162&amp;"-H"&amp;TEXT(E162,"00")&amp;"-"&amp;H162)</x:f>
      </x:c>
      <x:c r="K162" t="str">
        <x:f>IF(A162="","",IF(AND(G162&gt;=0,I162&gt;=0,I162&lt;=G162),"OK","CHECK"))</x:f>
      </x:c>
      <x:c r="L162" t="str">
        <x:f>IF(A162="","",IF(AND(E162&gt;=0,E162&lt;=23),"OK","CHECK"))</x:f>
      </x:c>
      <x:c r="M162" t="str">
        <x:f>IF(A162="","",IF(AND(K162="OK",L162="OK"),"OK","CHECK"))</x:f>
      </x:c>
    </x:row>
    <x:row r="163" ht="18" customHeight="1">
      <x:c r="J163" t="str">
        <x:f>IF(A163="","", "SAMP-"&amp;A163&amp;"-L"&amp;TEXT(B163,"00")&amp;"-"&amp;TEXT(C163,"yyyymmdd")&amp;"-"&amp;D163&amp;"-H"&amp;TEXT(E163,"00")&amp;"-"&amp;H163)</x:f>
      </x:c>
      <x:c r="K163" t="str">
        <x:f>IF(A163="","",IF(AND(G163&gt;=0,I163&gt;=0,I163&lt;=G163),"OK","CHECK"))</x:f>
      </x:c>
      <x:c r="L163" t="str">
        <x:f>IF(A163="","",IF(AND(E163&gt;=0,E163&lt;=23),"OK","CHECK"))</x:f>
      </x:c>
      <x:c r="M163" t="str">
        <x:f>IF(A163="","",IF(AND(K163="OK",L163="OK"),"OK","CHECK"))</x:f>
      </x:c>
    </x:row>
    <x:row r="164" ht="18" customHeight="1">
      <x:c r="J164" t="str">
        <x:f>IF(A164="","", "SAMP-"&amp;A164&amp;"-L"&amp;TEXT(B164,"00")&amp;"-"&amp;TEXT(C164,"yyyymmdd")&amp;"-"&amp;D164&amp;"-H"&amp;TEXT(E164,"00")&amp;"-"&amp;H164)</x:f>
      </x:c>
      <x:c r="K164" t="str">
        <x:f>IF(A164="","",IF(AND(G164&gt;=0,I164&gt;=0,I164&lt;=G164),"OK","CHECK"))</x:f>
      </x:c>
      <x:c r="L164" t="str">
        <x:f>IF(A164="","",IF(AND(E164&gt;=0,E164&lt;=23),"OK","CHECK"))</x:f>
      </x:c>
      <x:c r="M164" t="str">
        <x:f>IF(A164="","",IF(AND(K164="OK",L164="OK"),"OK","CHECK"))</x:f>
      </x:c>
    </x:row>
    <x:row r="165" ht="18" customHeight="1">
      <x:c r="J165" t="str">
        <x:f>IF(A165="","", "SAMP-"&amp;A165&amp;"-L"&amp;TEXT(B165,"00")&amp;"-"&amp;TEXT(C165,"yyyymmdd")&amp;"-"&amp;D165&amp;"-H"&amp;TEXT(E165,"00")&amp;"-"&amp;H165)</x:f>
      </x:c>
      <x:c r="K165" t="str">
        <x:f>IF(A165="","",IF(AND(G165&gt;=0,I165&gt;=0,I165&lt;=G165),"OK","CHECK"))</x:f>
      </x:c>
      <x:c r="L165" t="str">
        <x:f>IF(A165="","",IF(AND(E165&gt;=0,E165&lt;=23),"OK","CHECK"))</x:f>
      </x:c>
      <x:c r="M165" t="str">
        <x:f>IF(A165="","",IF(AND(K165="OK",L165="OK"),"OK","CHECK"))</x:f>
      </x:c>
    </x:row>
    <x:row r="166" ht="18" customHeight="1">
      <x:c r="J166" t="str">
        <x:f>IF(A166="","", "SAMP-"&amp;A166&amp;"-L"&amp;TEXT(B166,"00")&amp;"-"&amp;TEXT(C166,"yyyymmdd")&amp;"-"&amp;D166&amp;"-H"&amp;TEXT(E166,"00")&amp;"-"&amp;H166)</x:f>
      </x:c>
      <x:c r="K166" t="str">
        <x:f>IF(A166="","",IF(AND(G166&gt;=0,I166&gt;=0,I166&lt;=G166),"OK","CHECK"))</x:f>
      </x:c>
      <x:c r="L166" t="str">
        <x:f>IF(A166="","",IF(AND(E166&gt;=0,E166&lt;=23),"OK","CHECK"))</x:f>
      </x:c>
      <x:c r="M166" t="str">
        <x:f>IF(A166="","",IF(AND(K166="OK",L166="OK"),"OK","CHECK"))</x:f>
      </x:c>
    </x:row>
    <x:row r="167" ht="18" customHeight="1">
      <x:c r="J167" t="str">
        <x:f>IF(A167="","", "SAMP-"&amp;A167&amp;"-L"&amp;TEXT(B167,"00")&amp;"-"&amp;TEXT(C167,"yyyymmdd")&amp;"-"&amp;D167&amp;"-H"&amp;TEXT(E167,"00")&amp;"-"&amp;H167)</x:f>
      </x:c>
      <x:c r="K167" t="str">
        <x:f>IF(A167="","",IF(AND(G167&gt;=0,I167&gt;=0,I167&lt;=G167),"OK","CHECK"))</x:f>
      </x:c>
      <x:c r="L167" t="str">
        <x:f>IF(A167="","",IF(AND(E167&gt;=0,E167&lt;=23),"OK","CHECK"))</x:f>
      </x:c>
      <x:c r="M167" t="str">
        <x:f>IF(A167="","",IF(AND(K167="OK",L167="OK"),"OK","CHECK"))</x:f>
      </x:c>
    </x:row>
    <x:row r="168" ht="18" customHeight="1">
      <x:c r="J168" t="str">
        <x:f>IF(A168="","", "SAMP-"&amp;A168&amp;"-L"&amp;TEXT(B168,"00")&amp;"-"&amp;TEXT(C168,"yyyymmdd")&amp;"-"&amp;D168&amp;"-H"&amp;TEXT(E168,"00")&amp;"-"&amp;H168)</x:f>
      </x:c>
      <x:c r="K168" t="str">
        <x:f>IF(A168="","",IF(AND(G168&gt;=0,I168&gt;=0,I168&lt;=G168),"OK","CHECK"))</x:f>
      </x:c>
      <x:c r="L168" t="str">
        <x:f>IF(A168="","",IF(AND(E168&gt;=0,E168&lt;=23),"OK","CHECK"))</x:f>
      </x:c>
      <x:c r="M168" t="str">
        <x:f>IF(A168="","",IF(AND(K168="OK",L168="OK"),"OK","CHECK"))</x:f>
      </x:c>
    </x:row>
    <x:row r="169" ht="18" customHeight="1">
      <x:c r="J169" t="str">
        <x:f>IF(A169="","", "SAMP-"&amp;A169&amp;"-L"&amp;TEXT(B169,"00")&amp;"-"&amp;TEXT(C169,"yyyymmdd")&amp;"-"&amp;D169&amp;"-H"&amp;TEXT(E169,"00")&amp;"-"&amp;H169)</x:f>
      </x:c>
      <x:c r="K169" t="str">
        <x:f>IF(A169="","",IF(AND(G169&gt;=0,I169&gt;=0,I169&lt;=G169),"OK","CHECK"))</x:f>
      </x:c>
      <x:c r="L169" t="str">
        <x:f>IF(A169="","",IF(AND(E169&gt;=0,E169&lt;=23),"OK","CHECK"))</x:f>
      </x:c>
      <x:c r="M169" t="str">
        <x:f>IF(A169="","",IF(AND(K169="OK",L169="OK"),"OK","CHECK"))</x:f>
      </x:c>
    </x:row>
    <x:row r="170" ht="18" customHeight="1">
      <x:c r="J170" t="str">
        <x:f>IF(A170="","", "SAMP-"&amp;A170&amp;"-L"&amp;TEXT(B170,"00")&amp;"-"&amp;TEXT(C170,"yyyymmdd")&amp;"-"&amp;D170&amp;"-H"&amp;TEXT(E170,"00")&amp;"-"&amp;H170)</x:f>
      </x:c>
      <x:c r="K170" t="str">
        <x:f>IF(A170="","",IF(AND(G170&gt;=0,I170&gt;=0,I170&lt;=G170),"OK","CHECK"))</x:f>
      </x:c>
      <x:c r="L170" t="str">
        <x:f>IF(A170="","",IF(AND(E170&gt;=0,E170&lt;=23),"OK","CHECK"))</x:f>
      </x:c>
      <x:c r="M170" t="str">
        <x:f>IF(A170="","",IF(AND(K170="OK",L170="OK"),"OK","CHECK"))</x:f>
      </x:c>
    </x:row>
    <x:row r="171" ht="18" customHeight="1">
      <x:c r="J171" t="str">
        <x:f>IF(A171="","", "SAMP-"&amp;A171&amp;"-L"&amp;TEXT(B171,"00")&amp;"-"&amp;TEXT(C171,"yyyymmdd")&amp;"-"&amp;D171&amp;"-H"&amp;TEXT(E171,"00")&amp;"-"&amp;H171)</x:f>
      </x:c>
      <x:c r="K171" t="str">
        <x:f>IF(A171="","",IF(AND(G171&gt;=0,I171&gt;=0,I171&lt;=G171),"OK","CHECK"))</x:f>
      </x:c>
      <x:c r="L171" t="str">
        <x:f>IF(A171="","",IF(AND(E171&gt;=0,E171&lt;=23),"OK","CHECK"))</x:f>
      </x:c>
      <x:c r="M171" t="str">
        <x:f>IF(A171="","",IF(AND(K171="OK",L171="OK"),"OK","CHECK"))</x:f>
      </x:c>
    </x:row>
    <x:row r="172" ht="18" customHeight="1">
      <x:c r="J172" t="str">
        <x:f>IF(A172="","", "SAMP-"&amp;A172&amp;"-L"&amp;TEXT(B172,"00")&amp;"-"&amp;TEXT(C172,"yyyymmdd")&amp;"-"&amp;D172&amp;"-H"&amp;TEXT(E172,"00")&amp;"-"&amp;H172)</x:f>
      </x:c>
      <x:c r="K172" t="str">
        <x:f>IF(A172="","",IF(AND(G172&gt;=0,I172&gt;=0,I172&lt;=G172),"OK","CHECK"))</x:f>
      </x:c>
      <x:c r="L172" t="str">
        <x:f>IF(A172="","",IF(AND(E172&gt;=0,E172&lt;=23),"OK","CHECK"))</x:f>
      </x:c>
      <x:c r="M172" t="str">
        <x:f>IF(A172="","",IF(AND(K172="OK",L172="OK"),"OK","CHECK"))</x:f>
      </x:c>
    </x:row>
    <x:row r="173" ht="18" customHeight="1">
      <x:c r="J173" t="str">
        <x:f>IF(A173="","", "SAMP-"&amp;A173&amp;"-L"&amp;TEXT(B173,"00")&amp;"-"&amp;TEXT(C173,"yyyymmdd")&amp;"-"&amp;D173&amp;"-H"&amp;TEXT(E173,"00")&amp;"-"&amp;H173)</x:f>
      </x:c>
      <x:c r="K173" t="str">
        <x:f>IF(A173="","",IF(AND(G173&gt;=0,I173&gt;=0,I173&lt;=G173),"OK","CHECK"))</x:f>
      </x:c>
      <x:c r="L173" t="str">
        <x:f>IF(A173="","",IF(AND(E173&gt;=0,E173&lt;=23),"OK","CHECK"))</x:f>
      </x:c>
      <x:c r="M173" t="str">
        <x:f>IF(A173="","",IF(AND(K173="OK",L173="OK"),"OK","CHECK"))</x:f>
      </x:c>
    </x:row>
    <x:row r="174" ht="18" customHeight="1">
      <x:c r="J174" t="str">
        <x:f>IF(A174="","", "SAMP-"&amp;A174&amp;"-L"&amp;TEXT(B174,"00")&amp;"-"&amp;TEXT(C174,"yyyymmdd")&amp;"-"&amp;D174&amp;"-H"&amp;TEXT(E174,"00")&amp;"-"&amp;H174)</x:f>
      </x:c>
      <x:c r="K174" t="str">
        <x:f>IF(A174="","",IF(AND(G174&gt;=0,I174&gt;=0,I174&lt;=G174),"OK","CHECK"))</x:f>
      </x:c>
      <x:c r="L174" t="str">
        <x:f>IF(A174="","",IF(AND(E174&gt;=0,E174&lt;=23),"OK","CHECK"))</x:f>
      </x:c>
      <x:c r="M174" t="str">
        <x:f>IF(A174="","",IF(AND(K174="OK",L174="OK"),"OK","CHECK"))</x:f>
      </x:c>
    </x:row>
    <x:row r="175" ht="18" customHeight="1">
      <x:c r="J175" t="str">
        <x:f>IF(A175="","", "SAMP-"&amp;A175&amp;"-L"&amp;TEXT(B175,"00")&amp;"-"&amp;TEXT(C175,"yyyymmdd")&amp;"-"&amp;D175&amp;"-H"&amp;TEXT(E175,"00")&amp;"-"&amp;H175)</x:f>
      </x:c>
      <x:c r="K175" t="str">
        <x:f>IF(A175="","",IF(AND(G175&gt;=0,I175&gt;=0,I175&lt;=G175),"OK","CHECK"))</x:f>
      </x:c>
      <x:c r="L175" t="str">
        <x:f>IF(A175="","",IF(AND(E175&gt;=0,E175&lt;=23),"OK","CHECK"))</x:f>
      </x:c>
      <x:c r="M175" t="str">
        <x:f>IF(A175="","",IF(AND(K175="OK",L175="OK"),"OK","CHECK"))</x:f>
      </x:c>
    </x:row>
    <x:row r="176" ht="18" customHeight="1">
      <x:c r="J176" t="str">
        <x:f>IF(A176="","", "SAMP-"&amp;A176&amp;"-L"&amp;TEXT(B176,"00")&amp;"-"&amp;TEXT(C176,"yyyymmdd")&amp;"-"&amp;D176&amp;"-H"&amp;TEXT(E176,"00")&amp;"-"&amp;H176)</x:f>
      </x:c>
      <x:c r="K176" t="str">
        <x:f>IF(A176="","",IF(AND(G176&gt;=0,I176&gt;=0,I176&lt;=G176),"OK","CHECK"))</x:f>
      </x:c>
      <x:c r="L176" t="str">
        <x:f>IF(A176="","",IF(AND(E176&gt;=0,E176&lt;=23),"OK","CHECK"))</x:f>
      </x:c>
      <x:c r="M176" t="str">
        <x:f>IF(A176="","",IF(AND(K176="OK",L176="OK"),"OK","CHECK"))</x:f>
      </x:c>
    </x:row>
    <x:row r="177" ht="18" customHeight="1">
      <x:c r="J177" t="str">
        <x:f>IF(A177="","", "SAMP-"&amp;A177&amp;"-L"&amp;TEXT(B177,"00")&amp;"-"&amp;TEXT(C177,"yyyymmdd")&amp;"-"&amp;D177&amp;"-H"&amp;TEXT(E177,"00")&amp;"-"&amp;H177)</x:f>
      </x:c>
      <x:c r="K177" t="str">
        <x:f>IF(A177="","",IF(AND(G177&gt;=0,I177&gt;=0,I177&lt;=G177),"OK","CHECK"))</x:f>
      </x:c>
      <x:c r="L177" t="str">
        <x:f>IF(A177="","",IF(AND(E177&gt;=0,E177&lt;=23),"OK","CHECK"))</x:f>
      </x:c>
      <x:c r="M177" t="str">
        <x:f>IF(A177="","",IF(AND(K177="OK",L177="OK"),"OK","CHECK"))</x:f>
      </x:c>
    </x:row>
    <x:row r="178" ht="18" customHeight="1">
      <x:c r="J178" t="str">
        <x:f>IF(A178="","", "SAMP-"&amp;A178&amp;"-L"&amp;TEXT(B178,"00")&amp;"-"&amp;TEXT(C178,"yyyymmdd")&amp;"-"&amp;D178&amp;"-H"&amp;TEXT(E178,"00")&amp;"-"&amp;H178)</x:f>
      </x:c>
      <x:c r="K178" t="str">
        <x:f>IF(A178="","",IF(AND(G178&gt;=0,I178&gt;=0,I178&lt;=G178),"OK","CHECK"))</x:f>
      </x:c>
      <x:c r="L178" t="str">
        <x:f>IF(A178="","",IF(AND(E178&gt;=0,E178&lt;=23),"OK","CHECK"))</x:f>
      </x:c>
      <x:c r="M178" t="str">
        <x:f>IF(A178="","",IF(AND(K178="OK",L178="OK"),"OK","CHECK"))</x:f>
      </x:c>
    </x:row>
    <x:row r="179" ht="18" customHeight="1">
      <x:c r="J179" t="str">
        <x:f>IF(A179="","", "SAMP-"&amp;A179&amp;"-L"&amp;TEXT(B179,"00")&amp;"-"&amp;TEXT(C179,"yyyymmdd")&amp;"-"&amp;D179&amp;"-H"&amp;TEXT(E179,"00")&amp;"-"&amp;H179)</x:f>
      </x:c>
      <x:c r="K179" t="str">
        <x:f>IF(A179="","",IF(AND(G179&gt;=0,I179&gt;=0,I179&lt;=G179),"OK","CHECK"))</x:f>
      </x:c>
      <x:c r="L179" t="str">
        <x:f>IF(A179="","",IF(AND(E179&gt;=0,E179&lt;=23),"OK","CHECK"))</x:f>
      </x:c>
      <x:c r="M179" t="str">
        <x:f>IF(A179="","",IF(AND(K179="OK",L179="OK"),"OK","CHECK"))</x:f>
      </x:c>
    </x:row>
    <x:row r="180" ht="18" customHeight="1">
      <x:c r="J180" t="str">
        <x:f>IF(A180="","", "SAMP-"&amp;A180&amp;"-L"&amp;TEXT(B180,"00")&amp;"-"&amp;TEXT(C180,"yyyymmdd")&amp;"-"&amp;D180&amp;"-H"&amp;TEXT(E180,"00")&amp;"-"&amp;H180)</x:f>
      </x:c>
      <x:c r="K180" t="str">
        <x:f>IF(A180="","",IF(AND(G180&gt;=0,I180&gt;=0,I180&lt;=G180),"OK","CHECK"))</x:f>
      </x:c>
      <x:c r="L180" t="str">
        <x:f>IF(A180="","",IF(AND(E180&gt;=0,E180&lt;=23),"OK","CHECK"))</x:f>
      </x:c>
      <x:c r="M180" t="str">
        <x:f>IF(A180="","",IF(AND(K180="OK",L180="OK"),"OK","CHECK"))</x:f>
      </x:c>
    </x:row>
    <x:row r="181" ht="18" customHeight="1">
      <x:c r="J181" t="str">
        <x:f>IF(A181="","", "SAMP-"&amp;A181&amp;"-L"&amp;TEXT(B181,"00")&amp;"-"&amp;TEXT(C181,"yyyymmdd")&amp;"-"&amp;D181&amp;"-H"&amp;TEXT(E181,"00")&amp;"-"&amp;H181)</x:f>
      </x:c>
      <x:c r="K181" t="str">
        <x:f>IF(A181="","",IF(AND(G181&gt;=0,I181&gt;=0,I181&lt;=G181),"OK","CHECK"))</x:f>
      </x:c>
      <x:c r="L181" t="str">
        <x:f>IF(A181="","",IF(AND(E181&gt;=0,E181&lt;=23),"OK","CHECK"))</x:f>
      </x:c>
      <x:c r="M181" t="str">
        <x:f>IF(A181="","",IF(AND(K181="OK",L181="OK"),"OK","CHECK"))</x:f>
      </x:c>
    </x:row>
    <x:row r="182" ht="18" customHeight="1">
      <x:c r="J182" t="str">
        <x:f>IF(A182="","", "SAMP-"&amp;A182&amp;"-L"&amp;TEXT(B182,"00")&amp;"-"&amp;TEXT(C182,"yyyymmdd")&amp;"-"&amp;D182&amp;"-H"&amp;TEXT(E182,"00")&amp;"-"&amp;H182)</x:f>
      </x:c>
      <x:c r="K182" t="str">
        <x:f>IF(A182="","",IF(AND(G182&gt;=0,I182&gt;=0,I182&lt;=G182),"OK","CHECK"))</x:f>
      </x:c>
      <x:c r="L182" t="str">
        <x:f>IF(A182="","",IF(AND(E182&gt;=0,E182&lt;=23),"OK","CHECK"))</x:f>
      </x:c>
      <x:c r="M182" t="str">
        <x:f>IF(A182="","",IF(AND(K182="OK",L182="OK"),"OK","CHECK"))</x:f>
      </x:c>
    </x:row>
    <x:row r="183" ht="18" customHeight="1">
      <x:c r="J183" t="str">
        <x:f>IF(A183="","", "SAMP-"&amp;A183&amp;"-L"&amp;TEXT(B183,"00")&amp;"-"&amp;TEXT(C183,"yyyymmdd")&amp;"-"&amp;D183&amp;"-H"&amp;TEXT(E183,"00")&amp;"-"&amp;H183)</x:f>
      </x:c>
      <x:c r="K183" t="str">
        <x:f>IF(A183="","",IF(AND(G183&gt;=0,I183&gt;=0,I183&lt;=G183),"OK","CHECK"))</x:f>
      </x:c>
      <x:c r="L183" t="str">
        <x:f>IF(A183="","",IF(AND(E183&gt;=0,E183&lt;=23),"OK","CHECK"))</x:f>
      </x:c>
      <x:c r="M183" t="str">
        <x:f>IF(A183="","",IF(AND(K183="OK",L183="OK"),"OK","CHECK"))</x:f>
      </x:c>
    </x:row>
    <x:row r="184" ht="18" customHeight="1">
      <x:c r="J184" t="str">
        <x:f>IF(A184="","", "SAMP-"&amp;A184&amp;"-L"&amp;TEXT(B184,"00")&amp;"-"&amp;TEXT(C184,"yyyymmdd")&amp;"-"&amp;D184&amp;"-H"&amp;TEXT(E184,"00")&amp;"-"&amp;H184)</x:f>
      </x:c>
      <x:c r="K184" t="str">
        <x:f>IF(A184="","",IF(AND(G184&gt;=0,I184&gt;=0,I184&lt;=G184),"OK","CHECK"))</x:f>
      </x:c>
      <x:c r="L184" t="str">
        <x:f>IF(A184="","",IF(AND(E184&gt;=0,E184&lt;=23),"OK","CHECK"))</x:f>
      </x:c>
      <x:c r="M184" t="str">
        <x:f>IF(A184="","",IF(AND(K184="OK",L184="OK"),"OK","CHECK"))</x:f>
      </x:c>
    </x:row>
    <x:row r="185" ht="18" customHeight="1">
      <x:c r="J185" t="str">
        <x:f>IF(A185="","", "SAMP-"&amp;A185&amp;"-L"&amp;TEXT(B185,"00")&amp;"-"&amp;TEXT(C185,"yyyymmdd")&amp;"-"&amp;D185&amp;"-H"&amp;TEXT(E185,"00")&amp;"-"&amp;H185)</x:f>
      </x:c>
      <x:c r="K185" t="str">
        <x:f>IF(A185="","",IF(AND(G185&gt;=0,I185&gt;=0,I185&lt;=G185),"OK","CHECK"))</x:f>
      </x:c>
      <x:c r="L185" t="str">
        <x:f>IF(A185="","",IF(AND(E185&gt;=0,E185&lt;=23),"OK","CHECK"))</x:f>
      </x:c>
      <x:c r="M185" t="str">
        <x:f>IF(A185="","",IF(AND(K185="OK",L185="OK"),"OK","CHECK"))</x:f>
      </x:c>
    </x:row>
    <x:row r="186" ht="18" customHeight="1">
      <x:c r="J186" t="str">
        <x:f>IF(A186="","", "SAMP-"&amp;A186&amp;"-L"&amp;TEXT(B186,"00")&amp;"-"&amp;TEXT(C186,"yyyymmdd")&amp;"-"&amp;D186&amp;"-H"&amp;TEXT(E186,"00")&amp;"-"&amp;H186)</x:f>
      </x:c>
      <x:c r="K186" t="str">
        <x:f>IF(A186="","",IF(AND(G186&gt;=0,I186&gt;=0,I186&lt;=G186),"OK","CHECK"))</x:f>
      </x:c>
      <x:c r="L186" t="str">
        <x:f>IF(A186="","",IF(AND(E186&gt;=0,E186&lt;=23),"OK","CHECK"))</x:f>
      </x:c>
      <x:c r="M186" t="str">
        <x:f>IF(A186="","",IF(AND(K186="OK",L186="OK"),"OK","CHECK"))</x:f>
      </x:c>
    </x:row>
    <x:row r="187" ht="18" customHeight="1">
      <x:c r="J187" t="str">
        <x:f>IF(A187="","", "SAMP-"&amp;A187&amp;"-L"&amp;TEXT(B187,"00")&amp;"-"&amp;TEXT(C187,"yyyymmdd")&amp;"-"&amp;D187&amp;"-H"&amp;TEXT(E187,"00")&amp;"-"&amp;H187)</x:f>
      </x:c>
      <x:c r="K187" t="str">
        <x:f>IF(A187="","",IF(AND(G187&gt;=0,I187&gt;=0,I187&lt;=G187),"OK","CHECK"))</x:f>
      </x:c>
      <x:c r="L187" t="str">
        <x:f>IF(A187="","",IF(AND(E187&gt;=0,E187&lt;=23),"OK","CHECK"))</x:f>
      </x:c>
      <x:c r="M187" t="str">
        <x:f>IF(A187="","",IF(AND(K187="OK",L187="OK"),"OK","CHECK"))</x:f>
      </x:c>
    </x:row>
    <x:row r="188" ht="18" customHeight="1">
      <x:c r="J188" t="str">
        <x:f>IF(A188="","", "SAMP-"&amp;A188&amp;"-L"&amp;TEXT(B188,"00")&amp;"-"&amp;TEXT(C188,"yyyymmdd")&amp;"-"&amp;D188&amp;"-H"&amp;TEXT(E188,"00")&amp;"-"&amp;H188)</x:f>
      </x:c>
      <x:c r="K188" t="str">
        <x:f>IF(A188="","",IF(AND(G188&gt;=0,I188&gt;=0,I188&lt;=G188),"OK","CHECK"))</x:f>
      </x:c>
      <x:c r="L188" t="str">
        <x:f>IF(A188="","",IF(AND(E188&gt;=0,E188&lt;=23),"OK","CHECK"))</x:f>
      </x:c>
      <x:c r="M188" t="str">
        <x:f>IF(A188="","",IF(AND(K188="OK",L188="OK"),"OK","CHECK"))</x:f>
      </x:c>
    </x:row>
    <x:row r="189" ht="18" customHeight="1">
      <x:c r="J189" t="str">
        <x:f>IF(A189="","", "SAMP-"&amp;A189&amp;"-L"&amp;TEXT(B189,"00")&amp;"-"&amp;TEXT(C189,"yyyymmdd")&amp;"-"&amp;D189&amp;"-H"&amp;TEXT(E189,"00")&amp;"-"&amp;H189)</x:f>
      </x:c>
      <x:c r="K189" t="str">
        <x:f>IF(A189="","",IF(AND(G189&gt;=0,I189&gt;=0,I189&lt;=G189),"OK","CHECK"))</x:f>
      </x:c>
      <x:c r="L189" t="str">
        <x:f>IF(A189="","",IF(AND(E189&gt;=0,E189&lt;=23),"OK","CHECK"))</x:f>
      </x:c>
      <x:c r="M189" t="str">
        <x:f>IF(A189="","",IF(AND(K189="OK",L189="OK"),"OK","CHECK"))</x:f>
      </x:c>
    </x:row>
    <x:row r="190" ht="18" customHeight="1">
      <x:c r="J190" t="str">
        <x:f>IF(A190="","", "SAMP-"&amp;A190&amp;"-L"&amp;TEXT(B190,"00")&amp;"-"&amp;TEXT(C190,"yyyymmdd")&amp;"-"&amp;D190&amp;"-H"&amp;TEXT(E190,"00")&amp;"-"&amp;H190)</x:f>
      </x:c>
      <x:c r="K190" t="str">
        <x:f>IF(A190="","",IF(AND(G190&gt;=0,I190&gt;=0,I190&lt;=G190),"OK","CHECK"))</x:f>
      </x:c>
      <x:c r="L190" t="str">
        <x:f>IF(A190="","",IF(AND(E190&gt;=0,E190&lt;=23),"OK","CHECK"))</x:f>
      </x:c>
      <x:c r="M190" t="str">
        <x:f>IF(A190="","",IF(AND(K190="OK",L190="OK"),"OK","CHECK"))</x:f>
      </x:c>
    </x:row>
    <x:row r="191" ht="18" customHeight="1">
      <x:c r="J191" t="str">
        <x:f>IF(A191="","", "SAMP-"&amp;A191&amp;"-L"&amp;TEXT(B191,"00")&amp;"-"&amp;TEXT(C191,"yyyymmdd")&amp;"-"&amp;D191&amp;"-H"&amp;TEXT(E191,"00")&amp;"-"&amp;H191)</x:f>
      </x:c>
      <x:c r="K191" t="str">
        <x:f>IF(A191="","",IF(AND(G191&gt;=0,I191&gt;=0,I191&lt;=G191),"OK","CHECK"))</x:f>
      </x:c>
      <x:c r="L191" t="str">
        <x:f>IF(A191="","",IF(AND(E191&gt;=0,E191&lt;=23),"OK","CHECK"))</x:f>
      </x:c>
      <x:c r="M191" t="str">
        <x:f>IF(A191="","",IF(AND(K191="OK",L191="OK"),"OK","CHECK"))</x:f>
      </x:c>
    </x:row>
    <x:row r="192" ht="18" customHeight="1">
      <x:c r="J192" t="str">
        <x:f>IF(A192="","", "SAMP-"&amp;A192&amp;"-L"&amp;TEXT(B192,"00")&amp;"-"&amp;TEXT(C192,"yyyymmdd")&amp;"-"&amp;D192&amp;"-H"&amp;TEXT(E192,"00")&amp;"-"&amp;H192)</x:f>
      </x:c>
      <x:c r="K192" t="str">
        <x:f>IF(A192="","",IF(AND(G192&gt;=0,I192&gt;=0,I192&lt;=G192),"OK","CHECK"))</x:f>
      </x:c>
      <x:c r="L192" t="str">
        <x:f>IF(A192="","",IF(AND(E192&gt;=0,E192&lt;=23),"OK","CHECK"))</x:f>
      </x:c>
      <x:c r="M192" t="str">
        <x:f>IF(A192="","",IF(AND(K192="OK",L192="OK"),"OK","CHECK"))</x:f>
      </x:c>
    </x:row>
    <x:row r="193" ht="18" customHeight="1">
      <x:c r="J193" t="str">
        <x:f>IF(A193="","", "SAMP-"&amp;A193&amp;"-L"&amp;TEXT(B193,"00")&amp;"-"&amp;TEXT(C193,"yyyymmdd")&amp;"-"&amp;D193&amp;"-H"&amp;TEXT(E193,"00")&amp;"-"&amp;H193)</x:f>
      </x:c>
      <x:c r="K193" t="str">
        <x:f>IF(A193="","",IF(AND(G193&gt;=0,I193&gt;=0,I193&lt;=G193),"OK","CHECK"))</x:f>
      </x:c>
      <x:c r="L193" t="str">
        <x:f>IF(A193="","",IF(AND(E193&gt;=0,E193&lt;=23),"OK","CHECK"))</x:f>
      </x:c>
      <x:c r="M193" t="str">
        <x:f>IF(A193="","",IF(AND(K193="OK",L193="OK"),"OK","CHECK"))</x:f>
      </x:c>
    </x:row>
    <x:row r="194" ht="18" customHeight="1">
      <x:c r="J194" t="str">
        <x:f>IF(A194="","", "SAMP-"&amp;A194&amp;"-L"&amp;TEXT(B194,"00")&amp;"-"&amp;TEXT(C194,"yyyymmdd")&amp;"-"&amp;D194&amp;"-H"&amp;TEXT(E194,"00")&amp;"-"&amp;H194)</x:f>
      </x:c>
      <x:c r="K194" t="str">
        <x:f>IF(A194="","",IF(AND(G194&gt;=0,I194&gt;=0,I194&lt;=G194),"OK","CHECK"))</x:f>
      </x:c>
      <x:c r="L194" t="str">
        <x:f>IF(A194="","",IF(AND(E194&gt;=0,E194&lt;=23),"OK","CHECK"))</x:f>
      </x:c>
      <x:c r="M194" t="str">
        <x:f>IF(A194="","",IF(AND(K194="OK",L194="OK"),"OK","CHECK"))</x:f>
      </x:c>
    </x:row>
    <x:row r="195" ht="18" customHeight="1">
      <x:c r="J195" t="str">
        <x:f>IF(A195="","", "SAMP-"&amp;A195&amp;"-L"&amp;TEXT(B195,"00")&amp;"-"&amp;TEXT(C195,"yyyymmdd")&amp;"-"&amp;D195&amp;"-H"&amp;TEXT(E195,"00")&amp;"-"&amp;H195)</x:f>
      </x:c>
      <x:c r="K195" t="str">
        <x:f>IF(A195="","",IF(AND(G195&gt;=0,I195&gt;=0,I195&lt;=G195),"OK","CHECK"))</x:f>
      </x:c>
      <x:c r="L195" t="str">
        <x:f>IF(A195="","",IF(AND(E195&gt;=0,E195&lt;=23),"OK","CHECK"))</x:f>
      </x:c>
      <x:c r="M195" t="str">
        <x:f>IF(A195="","",IF(AND(K195="OK",L195="OK"),"OK","CHECK"))</x:f>
      </x:c>
    </x:row>
    <x:row r="196" ht="18" customHeight="1">
      <x:c r="J196" t="str">
        <x:f>IF(A196="","", "SAMP-"&amp;A196&amp;"-L"&amp;TEXT(B196,"00")&amp;"-"&amp;TEXT(C196,"yyyymmdd")&amp;"-"&amp;D196&amp;"-H"&amp;TEXT(E196,"00")&amp;"-"&amp;H196)</x:f>
      </x:c>
      <x:c r="K196" t="str">
        <x:f>IF(A196="","",IF(AND(G196&gt;=0,I196&gt;=0,I196&lt;=G196),"OK","CHECK"))</x:f>
      </x:c>
      <x:c r="L196" t="str">
        <x:f>IF(A196="","",IF(AND(E196&gt;=0,E196&lt;=23),"OK","CHECK"))</x:f>
      </x:c>
      <x:c r="M196" t="str">
        <x:f>IF(A196="","",IF(AND(K196="OK",L196="OK"),"OK","CHECK"))</x:f>
      </x:c>
    </x:row>
    <x:row r="197" ht="18" customHeight="1">
      <x:c r="J197" t="str">
        <x:f>IF(A197="","", "SAMP-"&amp;A197&amp;"-L"&amp;TEXT(B197,"00")&amp;"-"&amp;TEXT(C197,"yyyymmdd")&amp;"-"&amp;D197&amp;"-H"&amp;TEXT(E197,"00")&amp;"-"&amp;H197)</x:f>
      </x:c>
      <x:c r="K197" t="str">
        <x:f>IF(A197="","",IF(AND(G197&gt;=0,I197&gt;=0,I197&lt;=G197),"OK","CHECK"))</x:f>
      </x:c>
      <x:c r="L197" t="str">
        <x:f>IF(A197="","",IF(AND(E197&gt;=0,E197&lt;=23),"OK","CHECK"))</x:f>
      </x:c>
      <x:c r="M197" t="str">
        <x:f>IF(A197="","",IF(AND(K197="OK",L197="OK"),"OK","CHECK"))</x:f>
      </x:c>
    </x:row>
    <x:row r="198" ht="18" customHeight="1">
      <x:c r="J198" t="str">
        <x:f>IF(A198="","", "SAMP-"&amp;A198&amp;"-L"&amp;TEXT(B198,"00")&amp;"-"&amp;TEXT(C198,"yyyymmdd")&amp;"-"&amp;D198&amp;"-H"&amp;TEXT(E198,"00")&amp;"-"&amp;H198)</x:f>
      </x:c>
      <x:c r="K198" t="str">
        <x:f>IF(A198="","",IF(AND(G198&gt;=0,I198&gt;=0,I198&lt;=G198),"OK","CHECK"))</x:f>
      </x:c>
      <x:c r="L198" t="str">
        <x:f>IF(A198="","",IF(AND(E198&gt;=0,E198&lt;=23),"OK","CHECK"))</x:f>
      </x:c>
      <x:c r="M198" t="str">
        <x:f>IF(A198="","",IF(AND(K198="OK",L198="OK"),"OK","CHECK"))</x:f>
      </x:c>
    </x:row>
    <x:row r="199" ht="18" customHeight="1">
      <x:c r="J199" t="str">
        <x:f>IF(A199="","", "SAMP-"&amp;A199&amp;"-L"&amp;TEXT(B199,"00")&amp;"-"&amp;TEXT(C199,"yyyymmdd")&amp;"-"&amp;D199&amp;"-H"&amp;TEXT(E199,"00")&amp;"-"&amp;H199)</x:f>
      </x:c>
      <x:c r="K199" t="str">
        <x:f>IF(A199="","",IF(AND(G199&gt;=0,I199&gt;=0,I199&lt;=G199),"OK","CHECK"))</x:f>
      </x:c>
      <x:c r="L199" t="str">
        <x:f>IF(A199="","",IF(AND(E199&gt;=0,E199&lt;=23),"OK","CHECK"))</x:f>
      </x:c>
      <x:c r="M199" t="str">
        <x:f>IF(A199="","",IF(AND(K199="OK",L199="OK"),"OK","CHECK"))</x:f>
      </x:c>
    </x:row>
    <x:row r="200" ht="18" customHeight="1">
      <x:c r="J200" t="str">
        <x:f>IF(A200="","", "SAMP-"&amp;A200&amp;"-L"&amp;TEXT(B200,"00")&amp;"-"&amp;TEXT(C200,"yyyymmdd")&amp;"-"&amp;D200&amp;"-H"&amp;TEXT(E200,"00")&amp;"-"&amp;H200)</x:f>
      </x:c>
      <x:c r="K200" t="str">
        <x:f>IF(A200="","",IF(AND(G200&gt;=0,I200&gt;=0,I200&lt;=G200),"OK","CHECK"))</x:f>
      </x:c>
      <x:c r="L200" t="str">
        <x:f>IF(A200="","",IF(AND(E200&gt;=0,E200&lt;=23),"OK","CHECK"))</x:f>
      </x:c>
      <x:c r="M200" t="str">
        <x:f>IF(A200="","",IF(AND(K200="OK",L200="OK"),"OK","CHECK"))</x:f>
      </x:c>
    </x:row>
    <x:row r="201" ht="18" customHeight="1">
      <x:c r="J201" t="str">
        <x:f>IF(A201="","", "SAMP-"&amp;A201&amp;"-L"&amp;TEXT(B201,"00")&amp;"-"&amp;TEXT(C201,"yyyymmdd")&amp;"-"&amp;D201&amp;"-H"&amp;TEXT(E201,"00")&amp;"-"&amp;H201)</x:f>
      </x:c>
      <x:c r="K201" t="str">
        <x:f>IF(A201="","",IF(AND(G201&gt;=0,I201&gt;=0,I201&lt;=G201),"OK","CHECK"))</x:f>
      </x:c>
      <x:c r="L201" t="str">
        <x:f>IF(A201="","",IF(AND(E201&gt;=0,E201&lt;=23),"OK","CHECK"))</x:f>
      </x:c>
      <x:c r="M201" t="str">
        <x:f>IF(A201="","",IF(AND(K201="OK",L201="OK"),"OK","CHECK"))</x:f>
      </x:c>
    </x:row>
    <x:row r="202" ht="18" customHeight="1">
      <x:c r="J202" t="str">
        <x:f>IF(A202="","", "SAMP-"&amp;A202&amp;"-L"&amp;TEXT(B202,"00")&amp;"-"&amp;TEXT(C202,"yyyymmdd")&amp;"-"&amp;D202&amp;"-H"&amp;TEXT(E202,"00")&amp;"-"&amp;H202)</x:f>
      </x:c>
      <x:c r="K202" t="str">
        <x:f>IF(A202="","",IF(AND(G202&gt;=0,I202&gt;=0,I202&lt;=G202),"OK","CHECK"))</x:f>
      </x:c>
      <x:c r="L202" t="str">
        <x:f>IF(A202="","",IF(AND(E202&gt;=0,E202&lt;=23),"OK","CHECK"))</x:f>
      </x:c>
      <x:c r="M202" t="str">
        <x:f>IF(A202="","",IF(AND(K202="OK",L202="OK"),"OK","CHECK"))</x:f>
      </x:c>
    </x:row>
    <x:row r="203" ht="18" customHeight="1">
      <x:c r="J203" t="str">
        <x:f>IF(A203="","", "SAMP-"&amp;A203&amp;"-L"&amp;TEXT(B203,"00")&amp;"-"&amp;TEXT(C203,"yyyymmdd")&amp;"-"&amp;D203&amp;"-H"&amp;TEXT(E203,"00")&amp;"-"&amp;H203)</x:f>
      </x:c>
      <x:c r="K203" t="str">
        <x:f>IF(A203="","",IF(AND(G203&gt;=0,I203&gt;=0,I203&lt;=G203),"OK","CHECK"))</x:f>
      </x:c>
      <x:c r="L203" t="str">
        <x:f>IF(A203="","",IF(AND(E203&gt;=0,E203&lt;=23),"OK","CHECK"))</x:f>
      </x:c>
      <x:c r="M203" t="str">
        <x:f>IF(A203="","",IF(AND(K203="OK",L203="OK"),"OK","CHECK"))</x:f>
      </x:c>
    </x:row>
    <x:row r="204" ht="18" customHeight="1">
      <x:c r="J204" t="str">
        <x:f>IF(A204="","", "SAMP-"&amp;A204&amp;"-L"&amp;TEXT(B204,"00")&amp;"-"&amp;TEXT(C204,"yyyymmdd")&amp;"-"&amp;D204&amp;"-H"&amp;TEXT(E204,"00")&amp;"-"&amp;H204)</x:f>
      </x:c>
      <x:c r="K204" t="str">
        <x:f>IF(A204="","",IF(AND(G204&gt;=0,I204&gt;=0,I204&lt;=G204),"OK","CHECK"))</x:f>
      </x:c>
      <x:c r="L204" t="str">
        <x:f>IF(A204="","",IF(AND(E204&gt;=0,E204&lt;=23),"OK","CHECK"))</x:f>
      </x:c>
      <x:c r="M204" t="str">
        <x:f>IF(A204="","",IF(AND(K204="OK",L204="OK"),"OK","CHECK"))</x:f>
      </x:c>
    </x:row>
    <x:row r="205" ht="18" customHeight="1">
      <x:c r="J205" t="str">
        <x:f>IF(A205="","", "SAMP-"&amp;A205&amp;"-L"&amp;TEXT(B205,"00")&amp;"-"&amp;TEXT(C205,"yyyymmdd")&amp;"-"&amp;D205&amp;"-H"&amp;TEXT(E205,"00")&amp;"-"&amp;H205)</x:f>
      </x:c>
      <x:c r="K205" t="str">
        <x:f>IF(A205="","",IF(AND(G205&gt;=0,I205&gt;=0,I205&lt;=G205),"OK","CHECK"))</x:f>
      </x:c>
      <x:c r="L205" t="str">
        <x:f>IF(A205="","",IF(AND(E205&gt;=0,E205&lt;=23),"OK","CHECK"))</x:f>
      </x:c>
      <x:c r="M205" t="str">
        <x:f>IF(A205="","",IF(AND(K205="OK",L205="OK"),"OK","CHECK"))</x:f>
      </x:c>
    </x:row>
    <x:row r="206" ht="18" customHeight="1">
      <x:c r="J206" t="str">
        <x:f>IF(A206="","", "SAMP-"&amp;A206&amp;"-L"&amp;TEXT(B206,"00")&amp;"-"&amp;TEXT(C206,"yyyymmdd")&amp;"-"&amp;D206&amp;"-H"&amp;TEXT(E206,"00")&amp;"-"&amp;H206)</x:f>
      </x:c>
      <x:c r="K206" t="str">
        <x:f>IF(A206="","",IF(AND(G206&gt;=0,I206&gt;=0,I206&lt;=G206),"OK","CHECK"))</x:f>
      </x:c>
      <x:c r="L206" t="str">
        <x:f>IF(A206="","",IF(AND(E206&gt;=0,E206&lt;=23),"OK","CHECK"))</x:f>
      </x:c>
      <x:c r="M206" t="str">
        <x:f>IF(A206="","",IF(AND(K206="OK",L206="OK"),"OK","CHECK"))</x:f>
      </x:c>
    </x:row>
    <x:row r="207" ht="18" customHeight="1">
      <x:c r="J207" t="str">
        <x:f>IF(A207="","", "SAMP-"&amp;A207&amp;"-L"&amp;TEXT(B207,"00")&amp;"-"&amp;TEXT(C207,"yyyymmdd")&amp;"-"&amp;D207&amp;"-H"&amp;TEXT(E207,"00")&amp;"-"&amp;H207)</x:f>
      </x:c>
      <x:c r="K207" t="str">
        <x:f>IF(A207="","",IF(AND(G207&gt;=0,I207&gt;=0,I207&lt;=G207),"OK","CHECK"))</x:f>
      </x:c>
      <x:c r="L207" t="str">
        <x:f>IF(A207="","",IF(AND(E207&gt;=0,E207&lt;=23),"OK","CHECK"))</x:f>
      </x:c>
      <x:c r="M207" t="str">
        <x:f>IF(A207="","",IF(AND(K207="OK",L207="OK"),"OK","CHECK"))</x:f>
      </x:c>
    </x:row>
    <x:row r="208" ht="18" customHeight="1">
      <x:c r="J208" t="str">
        <x:f>IF(A208="","", "SAMP-"&amp;A208&amp;"-L"&amp;TEXT(B208,"00")&amp;"-"&amp;TEXT(C208,"yyyymmdd")&amp;"-"&amp;D208&amp;"-H"&amp;TEXT(E208,"00")&amp;"-"&amp;H208)</x:f>
      </x:c>
      <x:c r="K208" t="str">
        <x:f>IF(A208="","",IF(AND(G208&gt;=0,I208&gt;=0,I208&lt;=G208),"OK","CHECK"))</x:f>
      </x:c>
      <x:c r="L208" t="str">
        <x:f>IF(A208="","",IF(AND(E208&gt;=0,E208&lt;=23),"OK","CHECK"))</x:f>
      </x:c>
      <x:c r="M208" t="str">
        <x:f>IF(A208="","",IF(AND(K208="OK",L208="OK"),"OK","CHECK"))</x:f>
      </x:c>
    </x:row>
    <x:row r="209" ht="18" customHeight="1">
      <x:c r="J209" t="str">
        <x:f>IF(A209="","", "SAMP-"&amp;A209&amp;"-L"&amp;TEXT(B209,"00")&amp;"-"&amp;TEXT(C209,"yyyymmdd")&amp;"-"&amp;D209&amp;"-H"&amp;TEXT(E209,"00")&amp;"-"&amp;H209)</x:f>
      </x:c>
      <x:c r="K209" t="str">
        <x:f>IF(A209="","",IF(AND(G209&gt;=0,I209&gt;=0,I209&lt;=G209),"OK","CHECK"))</x:f>
      </x:c>
      <x:c r="L209" t="str">
        <x:f>IF(A209="","",IF(AND(E209&gt;=0,E209&lt;=23),"OK","CHECK"))</x:f>
      </x:c>
      <x:c r="M209" t="str">
        <x:f>IF(A209="","",IF(AND(K209="OK",L209="OK"),"OK","CHECK"))</x:f>
      </x:c>
    </x:row>
    <x:row r="210" ht="18" customHeight="1">
      <x:c r="J210" t="str">
        <x:f>IF(A210="","", "SAMP-"&amp;A210&amp;"-L"&amp;TEXT(B210,"00")&amp;"-"&amp;TEXT(C210,"yyyymmdd")&amp;"-"&amp;D210&amp;"-H"&amp;TEXT(E210,"00")&amp;"-"&amp;H210)</x:f>
      </x:c>
      <x:c r="K210" t="str">
        <x:f>IF(A210="","",IF(AND(G210&gt;=0,I210&gt;=0,I210&lt;=G210),"OK","CHECK"))</x:f>
      </x:c>
      <x:c r="L210" t="str">
        <x:f>IF(A210="","",IF(AND(E210&gt;=0,E210&lt;=23),"OK","CHECK"))</x:f>
      </x:c>
      <x:c r="M210" t="str">
        <x:f>IF(A210="","",IF(AND(K210="OK",L210="OK"),"OK","CHECK"))</x:f>
      </x:c>
    </x:row>
    <x:row r="211" ht="18" customHeight="1">
      <x:c r="J211" t="str">
        <x:f>IF(A211="","", "SAMP-"&amp;A211&amp;"-L"&amp;TEXT(B211,"00")&amp;"-"&amp;TEXT(C211,"yyyymmdd")&amp;"-"&amp;D211&amp;"-H"&amp;TEXT(E211,"00")&amp;"-"&amp;H211)</x:f>
      </x:c>
      <x:c r="K211" t="str">
        <x:f>IF(A211="","",IF(AND(G211&gt;=0,I211&gt;=0,I211&lt;=G211),"OK","CHECK"))</x:f>
      </x:c>
      <x:c r="L211" t="str">
        <x:f>IF(A211="","",IF(AND(E211&gt;=0,E211&lt;=23),"OK","CHECK"))</x:f>
      </x:c>
      <x:c r="M211" t="str">
        <x:f>IF(A211="","",IF(AND(K211="OK",L211="OK"),"OK","CHECK"))</x:f>
      </x:c>
    </x:row>
    <x:row r="212" ht="18" customHeight="1">
      <x:c r="J212" t="str">
        <x:f>IF(A212="","", "SAMP-"&amp;A212&amp;"-L"&amp;TEXT(B212,"00")&amp;"-"&amp;TEXT(C212,"yyyymmdd")&amp;"-"&amp;D212&amp;"-H"&amp;TEXT(E212,"00")&amp;"-"&amp;H212)</x:f>
      </x:c>
      <x:c r="K212" t="str">
        <x:f>IF(A212="","",IF(AND(G212&gt;=0,I212&gt;=0,I212&lt;=G212),"OK","CHECK"))</x:f>
      </x:c>
      <x:c r="L212" t="str">
        <x:f>IF(A212="","",IF(AND(E212&gt;=0,E212&lt;=23),"OK","CHECK"))</x:f>
      </x:c>
      <x:c r="M212" t="str">
        <x:f>IF(A212="","",IF(AND(K212="OK",L212="OK"),"OK","CHECK"))</x:f>
      </x:c>
    </x:row>
    <x:row r="213" ht="18" customHeight="1">
      <x:c r="J213" t="str">
        <x:f>IF(A213="","", "SAMP-"&amp;A213&amp;"-L"&amp;TEXT(B213,"00")&amp;"-"&amp;TEXT(C213,"yyyymmdd")&amp;"-"&amp;D213&amp;"-H"&amp;TEXT(E213,"00")&amp;"-"&amp;H213)</x:f>
      </x:c>
      <x:c r="K213" t="str">
        <x:f>IF(A213="","",IF(AND(G213&gt;=0,I213&gt;=0,I213&lt;=G213),"OK","CHECK"))</x:f>
      </x:c>
      <x:c r="L213" t="str">
        <x:f>IF(A213="","",IF(AND(E213&gt;=0,E213&lt;=23),"OK","CHECK"))</x:f>
      </x:c>
      <x:c r="M213" t="str">
        <x:f>IF(A213="","",IF(AND(K213="OK",L213="OK"),"OK","CHECK"))</x:f>
      </x:c>
    </x:row>
    <x:row r="214" ht="18" customHeight="1">
      <x:c r="J214" t="str">
        <x:f>IF(A214="","", "SAMP-"&amp;A214&amp;"-L"&amp;TEXT(B214,"00")&amp;"-"&amp;TEXT(C214,"yyyymmdd")&amp;"-"&amp;D214&amp;"-H"&amp;TEXT(E214,"00")&amp;"-"&amp;H214)</x:f>
      </x:c>
      <x:c r="K214" t="str">
        <x:f>IF(A214="","",IF(AND(G214&gt;=0,I214&gt;=0,I214&lt;=G214),"OK","CHECK"))</x:f>
      </x:c>
      <x:c r="L214" t="str">
        <x:f>IF(A214="","",IF(AND(E214&gt;=0,E214&lt;=23),"OK","CHECK"))</x:f>
      </x:c>
      <x:c r="M214" t="str">
        <x:f>IF(A214="","",IF(AND(K214="OK",L214="OK"),"OK","CHECK"))</x:f>
      </x:c>
    </x:row>
    <x:row r="215" ht="18" customHeight="1">
      <x:c r="J215" t="str">
        <x:f>IF(A215="","", "SAMP-"&amp;A215&amp;"-L"&amp;TEXT(B215,"00")&amp;"-"&amp;TEXT(C215,"yyyymmdd")&amp;"-"&amp;D215&amp;"-H"&amp;TEXT(E215,"00")&amp;"-"&amp;H215)</x:f>
      </x:c>
      <x:c r="K215" t="str">
        <x:f>IF(A215="","",IF(AND(G215&gt;=0,I215&gt;=0,I215&lt;=G215),"OK","CHECK"))</x:f>
      </x:c>
      <x:c r="L215" t="str">
        <x:f>IF(A215="","",IF(AND(E215&gt;=0,E215&lt;=23),"OK","CHECK"))</x:f>
      </x:c>
      <x:c r="M215" t="str">
        <x:f>IF(A215="","",IF(AND(K215="OK",L215="OK"),"OK","CHECK"))</x:f>
      </x:c>
    </x:row>
    <x:row r="216" ht="18" customHeight="1">
      <x:c r="J216" t="str">
        <x:f>IF(A216="","", "SAMP-"&amp;A216&amp;"-L"&amp;TEXT(B216,"00")&amp;"-"&amp;TEXT(C216,"yyyymmdd")&amp;"-"&amp;D216&amp;"-H"&amp;TEXT(E216,"00")&amp;"-"&amp;H216)</x:f>
      </x:c>
      <x:c r="K216" t="str">
        <x:f>IF(A216="","",IF(AND(G216&gt;=0,I216&gt;=0,I216&lt;=G216),"OK","CHECK"))</x:f>
      </x:c>
      <x:c r="L216" t="str">
        <x:f>IF(A216="","",IF(AND(E216&gt;=0,E216&lt;=23),"OK","CHECK"))</x:f>
      </x:c>
      <x:c r="M216" t="str">
        <x:f>IF(A216="","",IF(AND(K216="OK",L216="OK"),"OK","CHECK"))</x:f>
      </x:c>
    </x:row>
    <x:row r="217" ht="18" customHeight="1">
      <x:c r="J217" t="str">
        <x:f>IF(A217="","", "SAMP-"&amp;A217&amp;"-L"&amp;TEXT(B217,"00")&amp;"-"&amp;TEXT(C217,"yyyymmdd")&amp;"-"&amp;D217&amp;"-H"&amp;TEXT(E217,"00")&amp;"-"&amp;H217)</x:f>
      </x:c>
      <x:c r="K217" t="str">
        <x:f>IF(A217="","",IF(AND(G217&gt;=0,I217&gt;=0,I217&lt;=G217),"OK","CHECK"))</x:f>
      </x:c>
      <x:c r="L217" t="str">
        <x:f>IF(A217="","",IF(AND(E217&gt;=0,E217&lt;=23),"OK","CHECK"))</x:f>
      </x:c>
      <x:c r="M217" t="str">
        <x:f>IF(A217="","",IF(AND(K217="OK",L217="OK"),"OK","CHECK"))</x:f>
      </x:c>
    </x:row>
    <x:row r="218" ht="18" customHeight="1">
      <x:c r="J218" t="str">
        <x:f>IF(A218="","", "SAMP-"&amp;A218&amp;"-L"&amp;TEXT(B218,"00")&amp;"-"&amp;TEXT(C218,"yyyymmdd")&amp;"-"&amp;D218&amp;"-H"&amp;TEXT(E218,"00")&amp;"-"&amp;H218)</x:f>
      </x:c>
      <x:c r="K218" t="str">
        <x:f>IF(A218="","",IF(AND(G218&gt;=0,I218&gt;=0,I218&lt;=G218),"OK","CHECK"))</x:f>
      </x:c>
      <x:c r="L218" t="str">
        <x:f>IF(A218="","",IF(AND(E218&gt;=0,E218&lt;=23),"OK","CHECK"))</x:f>
      </x:c>
      <x:c r="M218" t="str">
        <x:f>IF(A218="","",IF(AND(K218="OK",L218="OK"),"OK","CHECK"))</x:f>
      </x:c>
    </x:row>
    <x:row r="219" ht="18" customHeight="1">
      <x:c r="J219" t="str">
        <x:f>IF(A219="","", "SAMP-"&amp;A219&amp;"-L"&amp;TEXT(B219,"00")&amp;"-"&amp;TEXT(C219,"yyyymmdd")&amp;"-"&amp;D219&amp;"-H"&amp;TEXT(E219,"00")&amp;"-"&amp;H219)</x:f>
      </x:c>
      <x:c r="K219" t="str">
        <x:f>IF(A219="","",IF(AND(G219&gt;=0,I219&gt;=0,I219&lt;=G219),"OK","CHECK"))</x:f>
      </x:c>
      <x:c r="L219" t="str">
        <x:f>IF(A219="","",IF(AND(E219&gt;=0,E219&lt;=23),"OK","CHECK"))</x:f>
      </x:c>
      <x:c r="M219" t="str">
        <x:f>IF(A219="","",IF(AND(K219="OK",L219="OK"),"OK","CHECK"))</x:f>
      </x:c>
    </x:row>
    <x:row r="220" ht="18" customHeight="1">
      <x:c r="J220" t="str">
        <x:f>IF(A220="","", "SAMP-"&amp;A220&amp;"-L"&amp;TEXT(B220,"00")&amp;"-"&amp;TEXT(C220,"yyyymmdd")&amp;"-"&amp;D220&amp;"-H"&amp;TEXT(E220,"00")&amp;"-"&amp;H220)</x:f>
      </x:c>
      <x:c r="K220" t="str">
        <x:f>IF(A220="","",IF(AND(G220&gt;=0,I220&gt;=0,I220&lt;=G220),"OK","CHECK"))</x:f>
      </x:c>
      <x:c r="L220" t="str">
        <x:f>IF(A220="","",IF(AND(E220&gt;=0,E220&lt;=23),"OK","CHECK"))</x:f>
      </x:c>
      <x:c r="M220" t="str">
        <x:f>IF(A220="","",IF(AND(K220="OK",L220="OK"),"OK","CHECK"))</x:f>
      </x:c>
    </x:row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  <x:row r="3655" ht="18" customHeight="1"/>
    <x:row r="3656" ht="18" customHeight="1"/>
    <x:row r="3657" ht="18" customHeight="1"/>
    <x:row r="3658" ht="18" customHeight="1"/>
    <x:row r="3659" ht="18" customHeight="1"/>
    <x:row r="3660" ht="18" customHeight="1"/>
    <x:row r="3661" ht="18" customHeight="1"/>
    <x:row r="3662" ht="18" customHeight="1"/>
    <x:row r="3663" ht="18" customHeight="1"/>
    <x:row r="3664" ht="18" customHeight="1"/>
    <x:row r="3665" ht="18" customHeight="1"/>
    <x:row r="3666" ht="18" customHeight="1"/>
    <x:row r="3667" ht="18" customHeight="1"/>
    <x:row r="3668" ht="18" customHeight="1"/>
    <x:row r="3669" ht="18" customHeight="1"/>
    <x:row r="3670" ht="18" customHeight="1"/>
    <x:row r="3671" ht="18" customHeight="1"/>
    <x:row r="3672" ht="18" customHeight="1"/>
    <x:row r="3673" ht="18" customHeight="1"/>
    <x:row r="3674" ht="18" customHeight="1"/>
    <x:row r="3675" ht="18" customHeight="1"/>
    <x:row r="3676" ht="18" customHeight="1"/>
    <x:row r="3677" ht="18" customHeight="1"/>
    <x:row r="3678" ht="18" customHeight="1"/>
    <x:row r="3679" ht="18" customHeight="1"/>
    <x:row r="3680" ht="18" customHeight="1"/>
    <x:row r="3681" ht="18" customHeight="1"/>
    <x:row r="3682" ht="18" customHeight="1"/>
    <x:row r="3683" ht="18" customHeight="1"/>
    <x:row r="3684" ht="18" customHeight="1"/>
    <x:row r="3685" ht="18" customHeight="1"/>
    <x:row r="3686" ht="18" customHeight="1"/>
    <x:row r="3687" ht="18" customHeight="1"/>
    <x:row r="3688" ht="18" customHeight="1"/>
    <x:row r="3689" ht="18" customHeight="1"/>
    <x:row r="3690" ht="18" customHeight="1"/>
    <x:row r="3691" ht="18" customHeight="1"/>
    <x:row r="3692" ht="18" customHeight="1"/>
    <x:row r="3693" ht="18" customHeight="1"/>
    <x:row r="3694" ht="18" customHeight="1"/>
    <x:row r="3695" ht="18" customHeight="1"/>
    <x:row r="3696" ht="18" customHeight="1"/>
    <x:row r="3697" ht="18" customHeight="1"/>
    <x:row r="3698" ht="18" customHeight="1"/>
    <x:row r="3699" ht="18" customHeight="1"/>
    <x:row r="3700" ht="18" customHeight="1"/>
    <x:row r="3701" ht="18" customHeight="1"/>
    <x:row r="3702" ht="18" customHeight="1"/>
    <x:row r="3703" ht="18" customHeight="1"/>
    <x:row r="3704" ht="18" customHeight="1"/>
    <x:row r="3705" ht="18" customHeight="1"/>
    <x:row r="3706" ht="18" customHeight="1"/>
    <x:row r="3707" ht="18" customHeight="1"/>
    <x:row r="3708" ht="18" customHeight="1"/>
    <x:row r="3709" ht="18" customHeight="1"/>
    <x:row r="3710" ht="18" customHeight="1"/>
    <x:row r="3711" ht="18" customHeight="1"/>
    <x:row r="3712" ht="18" customHeight="1"/>
    <x:row r="3713" ht="18" customHeight="1"/>
    <x:row r="3714" ht="18" customHeight="1"/>
    <x:row r="3715" ht="18" customHeight="1"/>
    <x:row r="3716" ht="18" customHeight="1"/>
    <x:row r="3717" ht="18" customHeight="1"/>
    <x:row r="3718" ht="18" customHeight="1"/>
    <x:row r="3719" ht="18" customHeight="1"/>
    <x:row r="3720" ht="18" customHeight="1"/>
    <x:row r="3721" ht="18" customHeight="1"/>
    <x:row r="3722" ht="18" customHeight="1"/>
    <x:row r="3723" ht="18" customHeight="1"/>
    <x:row r="3724" ht="18" customHeight="1"/>
    <x:row r="3725" ht="18" customHeight="1"/>
    <x:row r="3726" ht="18" customHeight="1"/>
    <x:row r="3727" ht="18" customHeight="1"/>
    <x:row r="3728" ht="18" customHeight="1"/>
    <x:row r="3729" ht="18" customHeight="1"/>
    <x:row r="3730" ht="18" customHeight="1"/>
    <x:row r="3731" ht="18" customHeight="1"/>
    <x:row r="3732" ht="18" customHeight="1"/>
    <x:row r="3733" ht="18" customHeight="1"/>
    <x:row r="3734" ht="18" customHeight="1"/>
    <x:row r="3735" ht="18" customHeight="1"/>
    <x:row r="3736" ht="18" customHeight="1"/>
    <x:row r="3737" ht="18" customHeight="1"/>
    <x:row r="3738" ht="18" customHeight="1"/>
    <x:row r="3739" ht="18" customHeight="1"/>
    <x:row r="3740" ht="18" customHeight="1"/>
    <x:row r="3741" ht="18" customHeight="1"/>
    <x:row r="3742" ht="18" customHeight="1"/>
    <x:row r="3743" ht="18" customHeight="1"/>
    <x:row r="3744" ht="18" customHeight="1"/>
    <x:row r="3745" ht="18" customHeight="1"/>
    <x:row r="3746" ht="18" customHeight="1"/>
    <x:row r="3747" ht="18" customHeight="1"/>
    <x:row r="3748" ht="18" customHeight="1"/>
    <x:row r="3749" ht="18" customHeight="1"/>
    <x:row r="3750" ht="18" customHeight="1"/>
    <x:row r="3751" ht="18" customHeight="1"/>
    <x:row r="3752" ht="18" customHeight="1"/>
    <x:row r="3753" ht="18" customHeight="1"/>
    <x:row r="3754" ht="18" customHeight="1"/>
    <x:row r="3755" ht="18" customHeight="1"/>
    <x:row r="3756" ht="18" customHeight="1"/>
    <x:row r="3757" ht="18" customHeight="1"/>
    <x:row r="3758" ht="18" customHeight="1"/>
    <x:row r="3759" ht="18" customHeight="1"/>
    <x:row r="3760" ht="18" customHeight="1"/>
    <x:row r="3761" ht="18" customHeight="1"/>
    <x:row r="3762" ht="18" customHeight="1"/>
    <x:row r="3763" ht="18" customHeight="1"/>
    <x:row r="3764" ht="18" customHeight="1"/>
    <x:row r="3765" ht="18" customHeight="1"/>
    <x:row r="3766" ht="18" customHeight="1"/>
    <x:row r="3767" ht="18" customHeight="1"/>
    <x:row r="3768" ht="18" customHeight="1"/>
    <x:row r="3769" ht="18" customHeight="1"/>
    <x:row r="3770" ht="18" customHeight="1"/>
    <x:row r="3771" ht="18" customHeight="1"/>
    <x:row r="3772" ht="18" customHeight="1"/>
    <x:row r="3773" ht="18" customHeight="1"/>
    <x:row r="3774" ht="18" customHeight="1"/>
    <x:row r="3775" ht="18" customHeight="1"/>
    <x:row r="3776" ht="18" customHeight="1"/>
    <x:row r="3777" ht="18" customHeight="1"/>
    <x:row r="3778" ht="18" customHeight="1"/>
    <x:row r="3779" ht="18" customHeight="1"/>
    <x:row r="3780" ht="18" customHeight="1"/>
    <x:row r="3781" ht="18" customHeight="1"/>
    <x:row r="3782" ht="18" customHeight="1"/>
    <x:row r="3783" ht="18" customHeight="1"/>
    <x:row r="3784" ht="18" customHeight="1"/>
    <x:row r="3785" ht="18" customHeight="1"/>
    <x:row r="3786" ht="18" customHeight="1"/>
    <x:row r="3787" ht="18" customHeight="1"/>
    <x:row r="3788" ht="18" customHeight="1"/>
    <x:row r="3789" ht="18" customHeight="1"/>
    <x:row r="3790" ht="18" customHeight="1"/>
    <x:row r="3791" ht="18" customHeight="1"/>
    <x:row r="3792" ht="18" customHeight="1"/>
    <x:row r="3793" ht="18" customHeight="1"/>
    <x:row r="3794" ht="18" customHeight="1"/>
    <x:row r="3795" ht="18" customHeight="1"/>
    <x:row r="3796" ht="18" customHeight="1"/>
    <x:row r="3797" ht="18" customHeight="1"/>
    <x:row r="3798" ht="18" customHeight="1"/>
    <x:row r="3799" ht="18" customHeight="1"/>
    <x:row r="3800" ht="18" customHeight="1"/>
    <x:row r="3801" ht="18" customHeight="1"/>
    <x:row r="3802" ht="18" customHeight="1"/>
    <x:row r="3803" ht="18" customHeight="1"/>
    <x:row r="3804" ht="18" customHeight="1"/>
    <x:row r="3805" ht="18" customHeight="1"/>
    <x:row r="3806" ht="18" customHeight="1"/>
    <x:row r="3807" ht="18" customHeight="1"/>
    <x:row r="3808" ht="18" customHeight="1"/>
    <x:row r="3809" ht="18" customHeight="1"/>
    <x:row r="3810" ht="18" customHeight="1"/>
    <x:row r="3811" ht="18" customHeight="1"/>
    <x:row r="3812" ht="18" customHeight="1"/>
    <x:row r="3813" ht="18" customHeight="1"/>
    <x:row r="3814" ht="18" customHeight="1"/>
    <x:row r="3815" ht="18" customHeight="1"/>
    <x:row r="3816" ht="18" customHeight="1"/>
    <x:row r="3817" ht="18" customHeight="1"/>
    <x:row r="3818" ht="18" customHeight="1"/>
    <x:row r="3819" ht="18" customHeight="1"/>
    <x:row r="3820" ht="18" customHeight="1"/>
    <x:row r="3821" ht="18" customHeight="1"/>
    <x:row r="3822" ht="18" customHeight="1"/>
    <x:row r="3823" ht="18" customHeight="1"/>
    <x:row r="3824" ht="18" customHeight="1"/>
    <x:row r="3825" ht="18" customHeight="1"/>
    <x:row r="3826" ht="18" customHeight="1"/>
    <x:row r="3827" ht="18" customHeight="1"/>
    <x:row r="3828" ht="18" customHeight="1"/>
    <x:row r="3829" ht="18" customHeight="1"/>
    <x:row r="3830" ht="18" customHeight="1"/>
    <x:row r="3831" ht="18" customHeight="1"/>
    <x:row r="3832" ht="18" customHeight="1"/>
    <x:row r="3833" ht="18" customHeight="1"/>
    <x:row r="3834" ht="18" customHeight="1"/>
    <x:row r="3835" ht="18" customHeight="1"/>
    <x:row r="3836" ht="18" customHeight="1"/>
    <x:row r="3837" ht="18" customHeight="1"/>
    <x:row r="3838" ht="18" customHeight="1"/>
    <x:row r="3839" ht="18" customHeight="1"/>
    <x:row r="3840" ht="18" customHeight="1"/>
    <x:row r="3841" ht="18" customHeight="1"/>
    <x:row r="3842" ht="18" customHeight="1"/>
    <x:row r="3843" ht="18" customHeight="1"/>
    <x:row r="3844" ht="18" customHeight="1"/>
    <x:row r="3845" ht="18" customHeight="1"/>
    <x:row r="3846" ht="18" customHeight="1"/>
    <x:row r="3847" ht="18" customHeight="1"/>
    <x:row r="3848" ht="18" customHeight="1"/>
    <x:row r="3849" ht="18" customHeight="1"/>
    <x:row r="3850" ht="18" customHeight="1"/>
    <x:row r="3851" ht="18" customHeight="1"/>
    <x:row r="3852" ht="18" customHeight="1"/>
    <x:row r="3853" ht="18" customHeight="1"/>
    <x:row r="3854" ht="18" customHeight="1"/>
    <x:row r="3855" ht="18" customHeight="1"/>
    <x:row r="3856" ht="18" customHeight="1"/>
    <x:row r="3857" ht="18" customHeight="1"/>
    <x:row r="3858" ht="18" customHeight="1"/>
    <x:row r="3859" ht="18" customHeight="1"/>
    <x:row r="3860" ht="18" customHeight="1"/>
    <x:row r="3861" ht="18" customHeight="1"/>
    <x:row r="3862" ht="18" customHeight="1"/>
    <x:row r="3863" ht="18" customHeight="1"/>
    <x:row r="3864" ht="18" customHeight="1"/>
    <x:row r="3865" ht="18" customHeight="1"/>
    <x:row r="3866" ht="18" customHeight="1"/>
    <x:row r="3867" ht="18" customHeight="1"/>
    <x:row r="3868" ht="18" customHeight="1"/>
    <x:row r="3869" ht="18" customHeight="1"/>
    <x:row r="3870" ht="18" customHeight="1"/>
    <x:row r="3871" ht="18" customHeight="1"/>
    <x:row r="3872" ht="18" customHeight="1"/>
    <x:row r="3873" ht="18" customHeight="1"/>
    <x:row r="3874" ht="18" customHeight="1"/>
    <x:row r="3875" ht="18" customHeight="1"/>
    <x:row r="3876" ht="18" customHeight="1"/>
    <x:row r="3877" ht="18" customHeight="1"/>
    <x:row r="3878" ht="18" customHeight="1"/>
    <x:row r="3879" ht="18" customHeight="1"/>
    <x:row r="3880" ht="18" customHeight="1"/>
    <x:row r="3881" ht="18" customHeight="1"/>
    <x:row r="3882" ht="18" customHeight="1"/>
    <x:row r="3883" ht="18" customHeight="1"/>
    <x:row r="3884" ht="18" customHeight="1"/>
    <x:row r="3885" ht="18" customHeight="1"/>
    <x:row r="3886" ht="18" customHeight="1"/>
    <x:row r="3887" ht="18" customHeight="1"/>
    <x:row r="3888" ht="18" customHeight="1"/>
    <x:row r="3889" ht="18" customHeight="1"/>
    <x:row r="3890" ht="18" customHeight="1"/>
    <x:row r="3891" ht="18" customHeight="1"/>
    <x:row r="3892" ht="18" customHeight="1"/>
    <x:row r="3893" ht="18" customHeight="1"/>
    <x:row r="3894" ht="18" customHeight="1"/>
    <x:row r="3895" ht="18" customHeight="1"/>
    <x:row r="3896" ht="18" customHeight="1"/>
    <x:row r="3897" ht="18" customHeight="1"/>
    <x:row r="3898" ht="18" customHeight="1"/>
    <x:row r="3899" ht="18" customHeight="1"/>
    <x:row r="3900" ht="18" customHeight="1"/>
    <x:row r="3901" ht="18" customHeight="1"/>
    <x:row r="3902" ht="18" customHeight="1"/>
    <x:row r="3903" ht="18" customHeight="1"/>
    <x:row r="3904" ht="18" customHeight="1"/>
    <x:row r="3905" ht="18" customHeight="1"/>
    <x:row r="3906" ht="18" customHeight="1"/>
    <x:row r="3907" ht="18" customHeight="1"/>
    <x:row r="3908" ht="18" customHeight="1"/>
    <x:row r="3909" ht="18" customHeight="1"/>
    <x:row r="3910" ht="18" customHeight="1"/>
    <x:row r="3911" ht="18" customHeight="1"/>
    <x:row r="3912" ht="18" customHeight="1"/>
    <x:row r="3913" ht="18" customHeight="1"/>
    <x:row r="3914" ht="18" customHeight="1"/>
    <x:row r="3915" ht="18" customHeight="1"/>
    <x:row r="3916" ht="18" customHeight="1"/>
    <x:row r="3917" ht="18" customHeight="1"/>
    <x:row r="3918" ht="18" customHeight="1"/>
    <x:row r="3919" ht="18" customHeight="1"/>
    <x:row r="3920" ht="18" customHeight="1"/>
    <x:row r="3921" ht="18" customHeight="1"/>
    <x:row r="3922" ht="18" customHeight="1"/>
    <x:row r="3923" ht="18" customHeight="1"/>
    <x:row r="3924" ht="18" customHeight="1"/>
    <x:row r="3925" ht="18" customHeight="1"/>
    <x:row r="3926" ht="18" customHeight="1"/>
    <x:row r="3927" ht="18" customHeight="1"/>
    <x:row r="3928" ht="18" customHeight="1"/>
    <x:row r="3929" ht="18" customHeight="1"/>
    <x:row r="3930" ht="18" customHeight="1"/>
    <x:row r="3931" ht="18" customHeight="1"/>
    <x:row r="3932" ht="18" customHeight="1"/>
    <x:row r="3933" ht="18" customHeight="1"/>
    <x:row r="3934" ht="18" customHeight="1"/>
    <x:row r="3935" ht="18" customHeight="1"/>
    <x:row r="3936" ht="18" customHeight="1"/>
    <x:row r="3937" ht="18" customHeight="1"/>
    <x:row r="3938" ht="18" customHeight="1"/>
    <x:row r="3939" ht="18" customHeight="1"/>
    <x:row r="3940" ht="18" customHeight="1"/>
    <x:row r="3941" ht="18" customHeight="1"/>
    <x:row r="3942" ht="18" customHeight="1"/>
    <x:row r="3943" ht="18" customHeight="1"/>
    <x:row r="3944" ht="18" customHeight="1"/>
    <x:row r="3945" ht="18" customHeight="1"/>
    <x:row r="3946" ht="18" customHeight="1"/>
    <x:row r="3947" ht="18" customHeight="1"/>
    <x:row r="3948" ht="18" customHeight="1"/>
    <x:row r="3949" ht="18" customHeight="1"/>
    <x:row r="3950" ht="18" customHeight="1"/>
    <x:row r="3951" ht="18" customHeight="1"/>
    <x:row r="3952" ht="18" customHeight="1"/>
    <x:row r="3953" ht="18" customHeight="1"/>
    <x:row r="3954" ht="18" customHeight="1"/>
    <x:row r="3955" ht="18" customHeight="1"/>
    <x:row r="3956" ht="18" customHeight="1"/>
    <x:row r="3957" ht="18" customHeight="1"/>
    <x:row r="3958" ht="18" customHeight="1"/>
    <x:row r="3959" ht="18" customHeight="1"/>
    <x:row r="3960" ht="18" customHeight="1"/>
    <x:row r="3961" ht="18" customHeight="1"/>
    <x:row r="3962" ht="18" customHeight="1"/>
    <x:row r="3963" ht="18" customHeight="1"/>
    <x:row r="3964" ht="18" customHeight="1"/>
    <x:row r="3965" ht="18" customHeight="1"/>
    <x:row r="3966" ht="18" customHeight="1"/>
    <x:row r="3967" ht="18" customHeight="1"/>
    <x:row r="3968" ht="18" customHeight="1"/>
    <x:row r="3969" ht="18" customHeight="1"/>
    <x:row r="3970" ht="18" customHeight="1"/>
    <x:row r="3971" ht="18" customHeight="1"/>
    <x:row r="3972" ht="18" customHeight="1"/>
    <x:row r="3973" ht="18" customHeight="1"/>
    <x:row r="3974" ht="18" customHeight="1"/>
    <x:row r="3975" ht="18" customHeight="1"/>
    <x:row r="3976" ht="18" customHeight="1"/>
    <x:row r="3977" ht="18" customHeight="1"/>
    <x:row r="3978" ht="18" customHeight="1"/>
    <x:row r="3979" ht="18" customHeight="1"/>
    <x:row r="3980" ht="18" customHeight="1"/>
    <x:row r="3981" ht="18" customHeight="1"/>
    <x:row r="3982" ht="18" customHeight="1"/>
    <x:row r="3983" ht="18" customHeight="1"/>
    <x:row r="3984" ht="18" customHeight="1"/>
    <x:row r="3985" ht="18" customHeight="1"/>
    <x:row r="3986" ht="18" customHeight="1"/>
    <x:row r="3987" ht="18" customHeight="1"/>
    <x:row r="3988" ht="18" customHeight="1"/>
    <x:row r="3989" ht="18" customHeight="1"/>
    <x:row r="3990" ht="18" customHeight="1"/>
    <x:row r="3991" ht="18" customHeight="1"/>
    <x:row r="3992" ht="18" customHeight="1"/>
    <x:row r="3993" ht="18" customHeight="1"/>
    <x:row r="3994" ht="18" customHeight="1"/>
    <x:row r="3995" ht="18" customHeight="1"/>
    <x:row r="3996" ht="18" customHeight="1"/>
    <x:row r="3997" ht="18" customHeight="1"/>
    <x:row r="3998" ht="18" customHeight="1"/>
    <x:row r="3999" ht="18" customHeight="1"/>
    <x:row r="4000" ht="18" customHeight="1"/>
    <x:row r="4001" ht="18" customHeight="1"/>
    <x:row r="4002" ht="18" customHeight="1"/>
    <x:row r="4003" ht="18" customHeight="1"/>
    <x:row r="4004" ht="18" customHeight="1"/>
    <x:row r="4005" ht="18" customHeight="1"/>
    <x:row r="4006" ht="18" customHeight="1"/>
    <x:row r="4007" ht="18" customHeight="1"/>
    <x:row r="4008" ht="18" customHeight="1"/>
    <x:row r="4009" ht="18" customHeight="1"/>
    <x:row r="4010" ht="18" customHeight="1"/>
    <x:row r="4011" ht="18" customHeight="1"/>
    <x:row r="4012" ht="18" customHeight="1"/>
    <x:row r="4013" ht="18" customHeight="1"/>
    <x:row r="4014" ht="18" customHeight="1"/>
    <x:row r="4015" ht="18" customHeight="1"/>
    <x:row r="4016" ht="18" customHeight="1"/>
    <x:row r="4017" ht="18" customHeight="1"/>
    <x:row r="4018" ht="18" customHeight="1"/>
    <x:row r="4019" ht="18" customHeight="1"/>
    <x:row r="4020" ht="18" customHeight="1"/>
    <x:row r="4021" ht="18" customHeight="1"/>
    <x:row r="4022" ht="18" customHeight="1"/>
    <x:row r="4023" ht="18" customHeight="1"/>
    <x:row r="4024" ht="18" customHeight="1"/>
    <x:row r="4025" ht="18" customHeight="1"/>
    <x:row r="4026" ht="18" customHeight="1"/>
    <x:row r="4027" ht="18" customHeight="1"/>
    <x:row r="4028" ht="18" customHeight="1"/>
    <x:row r="4029" ht="18" customHeight="1"/>
    <x:row r="4030" ht="18" customHeight="1"/>
    <x:row r="4031" ht="18" customHeight="1"/>
    <x:row r="4032" ht="18" customHeight="1"/>
    <x:row r="4033" ht="18" customHeight="1"/>
    <x:row r="4034" ht="18" customHeight="1"/>
    <x:row r="4035" ht="18" customHeight="1"/>
    <x:row r="4036" ht="18" customHeight="1"/>
    <x:row r="4037" ht="18" customHeight="1"/>
    <x:row r="4038" ht="18" customHeight="1"/>
    <x:row r="4039" ht="18" customHeight="1"/>
    <x:row r="4040" ht="18" customHeight="1"/>
    <x:row r="4041" ht="18" customHeight="1"/>
    <x:row r="4042" ht="18" customHeight="1"/>
    <x:row r="4043" ht="18" customHeight="1"/>
    <x:row r="4044" ht="18" customHeight="1"/>
    <x:row r="4045" ht="18" customHeight="1"/>
    <x:row r="4046" ht="18" customHeight="1"/>
    <x:row r="4047" ht="18" customHeight="1"/>
    <x:row r="4048" ht="18" customHeight="1"/>
    <x:row r="4049" ht="18" customHeight="1"/>
    <x:row r="4050" ht="18" customHeight="1"/>
    <x:row r="4051" ht="18" customHeight="1"/>
    <x:row r="4052" ht="18" customHeight="1"/>
    <x:row r="4053" ht="18" customHeight="1"/>
    <x:row r="4054" ht="18" customHeight="1"/>
    <x:row r="4055" ht="18" customHeight="1"/>
    <x:row r="4056" ht="18" customHeight="1"/>
    <x:row r="4057" ht="18" customHeight="1"/>
    <x:row r="4058" ht="18" customHeight="1"/>
    <x:row r="4059" ht="18" customHeight="1"/>
    <x:row r="4060" ht="18" customHeight="1"/>
    <x:row r="4061" ht="18" customHeight="1"/>
    <x:row r="4062" ht="18" customHeight="1"/>
    <x:row r="4063" ht="18" customHeight="1"/>
    <x:row r="4064" ht="18" customHeight="1"/>
    <x:row r="4065" ht="18" customHeight="1"/>
    <x:row r="4066" ht="18" customHeight="1"/>
    <x:row r="4067" ht="18" customHeight="1"/>
    <x:row r="4068" ht="18" customHeight="1"/>
    <x:row r="4069" ht="18" customHeight="1"/>
    <x:row r="4070" ht="18" customHeight="1"/>
    <x:row r="4071" ht="18" customHeight="1"/>
    <x:row r="4072" ht="18" customHeight="1"/>
    <x:row r="4073" ht="18" customHeight="1"/>
    <x:row r="4074" ht="18" customHeight="1"/>
    <x:row r="4075" ht="18" customHeight="1"/>
    <x:row r="4076" ht="18" customHeight="1"/>
    <x:row r="4077" ht="18" customHeight="1"/>
    <x:row r="4078" ht="18" customHeight="1"/>
    <x:row r="4079" ht="18" customHeight="1"/>
    <x:row r="4080" ht="18" customHeight="1"/>
    <x:row r="4081" ht="18" customHeight="1"/>
    <x:row r="4082" ht="18" customHeight="1"/>
    <x:row r="4083" ht="18" customHeight="1"/>
    <x:row r="4084" ht="18" customHeight="1"/>
    <x:row r="4085" ht="18" customHeight="1"/>
    <x:row r="4086" ht="18" customHeight="1"/>
    <x:row r="4087" ht="18" customHeight="1"/>
    <x:row r="4088" ht="18" customHeight="1"/>
    <x:row r="4089" ht="18" customHeight="1"/>
    <x:row r="4090" ht="18" customHeight="1"/>
    <x:row r="4091" ht="18" customHeight="1"/>
    <x:row r="4092" ht="18" customHeight="1"/>
    <x:row r="4093" ht="18" customHeight="1"/>
    <x:row r="4094" ht="18" customHeight="1"/>
    <x:row r="4095" ht="18" customHeight="1"/>
    <x:row r="4096" ht="18" customHeight="1"/>
    <x:row r="4097" ht="18" customHeight="1"/>
    <x:row r="4098" ht="18" customHeight="1"/>
    <x:row r="4099" ht="18" customHeight="1"/>
    <x:row r="4100" ht="18" customHeight="1"/>
    <x:row r="4101" ht="18" customHeight="1"/>
    <x:row r="4102" ht="18" customHeight="1"/>
    <x:row r="4103" ht="18" customHeight="1"/>
    <x:row r="4104" ht="18" customHeight="1"/>
    <x:row r="4105" ht="18" customHeight="1"/>
    <x:row r="4106" ht="18" customHeight="1"/>
    <x:row r="4107" ht="18" customHeight="1"/>
    <x:row r="4108" ht="18" customHeight="1"/>
    <x:row r="4109" ht="18" customHeight="1"/>
    <x:row r="4110" ht="18" customHeight="1"/>
    <x:row r="4111" ht="18" customHeight="1"/>
    <x:row r="4112" ht="18" customHeight="1"/>
    <x:row r="4113" ht="18" customHeight="1"/>
    <x:row r="4114" ht="18" customHeight="1"/>
    <x:row r="4115" ht="18" customHeight="1"/>
    <x:row r="4116" ht="18" customHeight="1"/>
    <x:row r="4117" ht="18" customHeight="1"/>
    <x:row r="4118" ht="18" customHeight="1"/>
    <x:row r="4119" ht="18" customHeight="1"/>
    <x:row r="4120" ht="18" customHeight="1"/>
    <x:row r="4121" ht="18" customHeight="1"/>
    <x:row r="4122" ht="18" customHeight="1"/>
    <x:row r="4123" ht="18" customHeight="1"/>
    <x:row r="4124" ht="18" customHeight="1"/>
    <x:row r="4125" ht="18" customHeight="1"/>
    <x:row r="4126" ht="18" customHeight="1"/>
    <x:row r="4127" ht="18" customHeight="1"/>
    <x:row r="4128" ht="18" customHeight="1"/>
    <x:row r="4129" ht="18" customHeight="1"/>
    <x:row r="4130" ht="18" customHeight="1"/>
    <x:row r="4131" ht="18" customHeight="1"/>
    <x:row r="4132" ht="18" customHeight="1"/>
    <x:row r="4133" ht="18" customHeight="1"/>
    <x:row r="4134" ht="18" customHeight="1"/>
    <x:row r="4135" ht="18" customHeight="1"/>
    <x:row r="4136" ht="18" customHeight="1"/>
    <x:row r="4137" ht="18" customHeight="1"/>
    <x:row r="4138" ht="18" customHeight="1"/>
    <x:row r="4139" ht="18" customHeight="1"/>
    <x:row r="4140" ht="18" customHeight="1"/>
    <x:row r="4141" ht="18" customHeight="1"/>
    <x:row r="4142" ht="18" customHeight="1"/>
    <x:row r="4143" ht="18" customHeight="1"/>
    <x:row r="4144" ht="18" customHeight="1"/>
    <x:row r="4145" ht="18" customHeight="1"/>
    <x:row r="4146" ht="18" customHeight="1"/>
    <x:row r="4147" ht="18" customHeight="1"/>
    <x:row r="4148" ht="18" customHeight="1"/>
    <x:row r="4149" ht="18" customHeight="1"/>
    <x:row r="4150" ht="18" customHeight="1"/>
    <x:row r="4151" ht="18" customHeight="1"/>
    <x:row r="4152" ht="18" customHeight="1"/>
    <x:row r="4153" ht="18" customHeight="1"/>
    <x:row r="4154" ht="18" customHeight="1"/>
    <x:row r="4155" ht="18" customHeight="1"/>
    <x:row r="4156" ht="18" customHeight="1"/>
    <x:row r="4157" ht="18" customHeight="1"/>
    <x:row r="4158" ht="18" customHeight="1"/>
    <x:row r="4159" ht="18" customHeight="1"/>
    <x:row r="4160" ht="18" customHeight="1"/>
    <x:row r="4161" ht="18" customHeight="1"/>
    <x:row r="4162" ht="18" customHeight="1"/>
    <x:row r="4163" ht="18" customHeight="1"/>
    <x:row r="4164" ht="18" customHeight="1"/>
    <x:row r="4165" ht="18" customHeight="1"/>
    <x:row r="4166" ht="18" customHeight="1"/>
    <x:row r="4167" ht="18" customHeight="1"/>
    <x:row r="4168" ht="18" customHeight="1"/>
    <x:row r="4169" ht="18" customHeight="1"/>
    <x:row r="4170" ht="18" customHeight="1"/>
    <x:row r="4171" ht="18" customHeight="1"/>
    <x:row r="4172" ht="18" customHeight="1"/>
    <x:row r="4173" ht="18" customHeight="1"/>
    <x:row r="4174" ht="18" customHeight="1"/>
    <x:row r="4175" ht="18" customHeight="1"/>
    <x:row r="4176" ht="18" customHeight="1"/>
    <x:row r="4177" ht="18" customHeight="1"/>
    <x:row r="4178" ht="18" customHeight="1"/>
    <x:row r="4179" ht="18" customHeight="1"/>
    <x:row r="4180" ht="18" customHeight="1"/>
    <x:row r="4181" ht="18" customHeight="1"/>
    <x:row r="4182" ht="18" customHeight="1"/>
    <x:row r="4183" ht="18" customHeight="1"/>
    <x:row r="4184" ht="18" customHeight="1"/>
    <x:row r="4185" ht="18" customHeight="1"/>
    <x:row r="4186" ht="18" customHeight="1"/>
    <x:row r="4187" ht="18" customHeight="1"/>
    <x:row r="4188" ht="18" customHeight="1"/>
    <x:row r="4189" ht="18" customHeight="1"/>
    <x:row r="4190" ht="18" customHeight="1"/>
    <x:row r="4191" ht="18" customHeight="1"/>
    <x:row r="4192" ht="18" customHeight="1"/>
    <x:row r="4193" ht="18" customHeight="1"/>
    <x:row r="4194" ht="18" customHeight="1"/>
    <x:row r="4195" ht="18" customHeight="1"/>
    <x:row r="4196" ht="18" customHeight="1"/>
    <x:row r="4197" ht="18" customHeight="1"/>
    <x:row r="4198" ht="18" customHeight="1"/>
    <x:row r="4199" ht="18" customHeight="1"/>
    <x:row r="4200" ht="18" customHeight="1"/>
    <x:row r="4201" ht="18" customHeight="1"/>
    <x:row r="4202" ht="18" customHeight="1"/>
    <x:row r="4203" ht="18" customHeight="1"/>
    <x:row r="4204" ht="18" customHeight="1"/>
    <x:row r="4205" ht="18" customHeight="1"/>
    <x:row r="4206" ht="18" customHeight="1"/>
    <x:row r="4207" ht="18" customHeight="1"/>
    <x:row r="4208" ht="18" customHeight="1"/>
    <x:row r="4209" ht="18" customHeight="1"/>
    <x:row r="4210" ht="18" customHeight="1"/>
    <x:row r="4211" ht="18" customHeight="1"/>
    <x:row r="4212" ht="18" customHeight="1"/>
    <x:row r="4213" ht="18" customHeight="1"/>
    <x:row r="4214" ht="18" customHeight="1"/>
    <x:row r="4215" ht="18" customHeight="1"/>
    <x:row r="4216" ht="18" customHeight="1"/>
    <x:row r="4217" ht="18" customHeight="1"/>
    <x:row r="4218" ht="18" customHeight="1"/>
    <x:row r="4219" ht="18" customHeight="1"/>
    <x:row r="4220" ht="18" customHeight="1"/>
    <x:row r="4221" ht="18" customHeight="1"/>
    <x:row r="4222" ht="18" customHeight="1"/>
    <x:row r="4223" ht="18" customHeight="1"/>
    <x:row r="4224" ht="18" customHeight="1"/>
    <x:row r="4225" ht="18" customHeight="1"/>
    <x:row r="4226" ht="18" customHeight="1"/>
    <x:row r="4227" ht="18" customHeight="1"/>
    <x:row r="4228" ht="18" customHeight="1"/>
    <x:row r="4229" ht="18" customHeight="1"/>
    <x:row r="4230" ht="18" customHeight="1"/>
    <x:row r="4231" ht="18" customHeight="1"/>
    <x:row r="4232" ht="18" customHeight="1"/>
    <x:row r="4233" ht="18" customHeight="1"/>
    <x:row r="4234" ht="18" customHeight="1"/>
    <x:row r="4235" ht="18" customHeight="1"/>
    <x:row r="4236" ht="18" customHeight="1"/>
    <x:row r="4237" ht="18" customHeight="1"/>
    <x:row r="4238" ht="18" customHeight="1"/>
    <x:row r="4239" ht="18" customHeight="1"/>
    <x:row r="4240" ht="18" customHeight="1"/>
    <x:row r="4241" ht="18" customHeight="1"/>
    <x:row r="4242" ht="18" customHeight="1"/>
    <x:row r="4243" ht="18" customHeight="1"/>
    <x:row r="4244" ht="18" customHeight="1"/>
    <x:row r="4245" ht="18" customHeight="1"/>
    <x:row r="4246" ht="18" customHeight="1"/>
    <x:row r="4247" ht="18" customHeight="1"/>
    <x:row r="4248" ht="18" customHeight="1"/>
    <x:row r="4249" ht="18" customHeight="1"/>
    <x:row r="4250" ht="18" customHeight="1"/>
    <x:row r="4251" ht="18" customHeight="1"/>
    <x:row r="4252" ht="18" customHeight="1"/>
    <x:row r="4253" ht="18" customHeight="1"/>
    <x:row r="4254" ht="18" customHeight="1"/>
    <x:row r="4255" ht="18" customHeight="1"/>
    <x:row r="4256" ht="18" customHeight="1"/>
    <x:row r="4257" ht="18" customHeight="1"/>
    <x:row r="4258" ht="18" customHeight="1"/>
    <x:row r="4259" ht="18" customHeight="1"/>
    <x:row r="4260" ht="18" customHeight="1"/>
    <x:row r="4261" ht="18" customHeight="1"/>
    <x:row r="4262" ht="18" customHeight="1"/>
    <x:row r="4263" ht="18" customHeight="1"/>
    <x:row r="4264" ht="18" customHeight="1"/>
    <x:row r="4265" ht="18" customHeight="1"/>
    <x:row r="4266" ht="18" customHeight="1"/>
    <x:row r="4267" ht="18" customHeight="1"/>
    <x:row r="4268" ht="18" customHeight="1"/>
    <x:row r="4269" ht="18" customHeight="1"/>
    <x:row r="4270" ht="18" customHeight="1"/>
    <x:row r="4271" ht="18" customHeight="1"/>
    <x:row r="4272" ht="18" customHeight="1"/>
    <x:row r="4273" ht="18" customHeight="1"/>
    <x:row r="4274" ht="18" customHeight="1"/>
    <x:row r="4275" ht="18" customHeight="1"/>
    <x:row r="4276" ht="18" customHeight="1"/>
    <x:row r="4277" ht="18" customHeight="1"/>
    <x:row r="4278" ht="18" customHeight="1"/>
    <x:row r="4279" ht="18" customHeight="1"/>
    <x:row r="4280" ht="18" customHeight="1"/>
    <x:row r="4281" ht="18" customHeight="1"/>
    <x:row r="4282" ht="18" customHeight="1"/>
    <x:row r="4283" ht="18" customHeight="1"/>
    <x:row r="4284" ht="18" customHeight="1"/>
    <x:row r="4285" ht="18" customHeight="1"/>
    <x:row r="4286" ht="18" customHeight="1"/>
    <x:row r="4287" ht="18" customHeight="1"/>
    <x:row r="4288" ht="18" customHeight="1"/>
    <x:row r="4289" ht="18" customHeight="1"/>
    <x:row r="4290" ht="18" customHeight="1"/>
    <x:row r="4291" ht="18" customHeight="1"/>
    <x:row r="4292" ht="18" customHeight="1"/>
    <x:row r="4293" ht="18" customHeight="1"/>
    <x:row r="4294" ht="18" customHeight="1"/>
    <x:row r="4295" ht="18" customHeight="1"/>
    <x:row r="4296" ht="18" customHeight="1"/>
    <x:row r="4297" ht="18" customHeight="1"/>
    <x:row r="4298" ht="18" customHeight="1"/>
    <x:row r="4299" ht="18" customHeight="1"/>
    <x:row r="4300" ht="18" customHeight="1"/>
    <x:row r="4301" ht="18" customHeight="1"/>
    <x:row r="4302" ht="18" customHeight="1"/>
    <x:row r="4303" ht="18" customHeight="1"/>
    <x:row r="4304" ht="18" customHeight="1"/>
    <x:row r="4305" ht="18" customHeight="1"/>
    <x:row r="4306" ht="18" customHeight="1"/>
    <x:row r="4307" ht="18" customHeight="1"/>
    <x:row r="4308" ht="18" customHeight="1"/>
    <x:row r="4309" ht="18" customHeight="1"/>
    <x:row r="4310" ht="18" customHeight="1"/>
    <x:row r="4311" ht="18" customHeight="1"/>
    <x:row r="4312" ht="18" customHeight="1"/>
    <x:row r="4313" ht="18" customHeight="1"/>
    <x:row r="4314" ht="18" customHeight="1"/>
    <x:row r="4315" ht="18" customHeight="1"/>
    <x:row r="4316" ht="18" customHeight="1"/>
    <x:row r="4317" ht="18" customHeight="1"/>
    <x:row r="4318" ht="18" customHeight="1"/>
    <x:row r="4319" ht="18" customHeight="1"/>
    <x:row r="4320" ht="18" customHeight="1"/>
    <x:row r="4321" ht="18" customHeight="1"/>
    <x:row r="4322" ht="18" customHeight="1"/>
    <x:row r="4323" ht="18" customHeight="1"/>
    <x:row r="4324" ht="18" customHeight="1"/>
    <x:row r="4325" ht="18" customHeight="1"/>
    <x:row r="4326" ht="18" customHeight="1"/>
    <x:row r="4327" ht="18" customHeight="1"/>
    <x:row r="4328" ht="18" customHeight="1"/>
    <x:row r="4329" ht="18" customHeight="1"/>
    <x:row r="4330" ht="18" customHeight="1"/>
    <x:row r="4331" ht="18" customHeight="1"/>
    <x:row r="4332" ht="18" customHeight="1"/>
    <x:row r="4333" ht="18" customHeight="1"/>
    <x:row r="4334" ht="18" customHeight="1"/>
    <x:row r="4335" ht="18" customHeight="1"/>
    <x:row r="4336" ht="18" customHeight="1"/>
    <x:row r="4337" ht="18" customHeight="1"/>
    <x:row r="4338" ht="18" customHeight="1"/>
    <x:row r="4339" ht="18" customHeight="1"/>
    <x:row r="4340" ht="18" customHeight="1"/>
    <x:row r="4341" ht="18" customHeight="1"/>
    <x:row r="4342" ht="18" customHeight="1"/>
    <x:row r="4343" ht="18" customHeight="1"/>
    <x:row r="4344" ht="18" customHeight="1"/>
    <x:row r="4345" ht="18" customHeight="1"/>
    <x:row r="4346" ht="18" customHeight="1"/>
    <x:row r="4347" ht="18" customHeight="1"/>
    <x:row r="4348" ht="18" customHeight="1"/>
    <x:row r="4349" ht="18" customHeight="1"/>
    <x:row r="4350" ht="18" customHeight="1"/>
    <x:row r="4351" ht="18" customHeight="1"/>
    <x:row r="4352" ht="18" customHeight="1"/>
    <x:row r="4353" ht="18" customHeight="1"/>
    <x:row r="4354" ht="18" customHeight="1"/>
    <x:row r="4355" ht="18" customHeight="1"/>
    <x:row r="4356" ht="18" customHeight="1"/>
    <x:row r="4357" ht="18" customHeight="1"/>
    <x:row r="4358" ht="18" customHeight="1"/>
    <x:row r="4359" ht="18" customHeight="1"/>
    <x:row r="4360" ht="18" customHeight="1"/>
    <x:row r="4361" ht="18" customHeight="1"/>
    <x:row r="4362" ht="18" customHeight="1"/>
    <x:row r="4363" ht="18" customHeight="1"/>
    <x:row r="4364" ht="18" customHeight="1"/>
    <x:row r="4365" ht="18" customHeight="1"/>
    <x:row r="4366" ht="18" customHeight="1"/>
    <x:row r="4367" ht="18" customHeight="1"/>
    <x:row r="4368" ht="18" customHeight="1"/>
    <x:row r="4369" ht="18" customHeight="1"/>
    <x:row r="4370" ht="18" customHeight="1"/>
    <x:row r="4371" ht="18" customHeight="1"/>
    <x:row r="4372" ht="18" customHeight="1"/>
    <x:row r="4373" ht="18" customHeight="1"/>
    <x:row r="4374" ht="18" customHeight="1"/>
    <x:row r="4375" ht="18" customHeight="1"/>
    <x:row r="4376" ht="18" customHeight="1"/>
    <x:row r="4377" ht="18" customHeight="1"/>
    <x:row r="4378" ht="18" customHeight="1"/>
    <x:row r="4379" ht="18" customHeight="1"/>
    <x:row r="4380" ht="18" customHeight="1"/>
    <x:row r="4381" ht="18" customHeight="1"/>
    <x:row r="4382" ht="18" customHeight="1"/>
    <x:row r="4383" ht="18" customHeight="1"/>
    <x:row r="4384" ht="18" customHeight="1"/>
    <x:row r="4385" ht="18" customHeight="1"/>
    <x:row r="4386" ht="18" customHeight="1"/>
    <x:row r="4387" ht="18" customHeight="1"/>
    <x:row r="4388" ht="18" customHeight="1"/>
    <x:row r="4389" ht="18" customHeight="1"/>
    <x:row r="4390" ht="18" customHeight="1"/>
    <x:row r="4391" ht="18" customHeight="1"/>
    <x:row r="4392" ht="18" customHeight="1"/>
    <x:row r="4393" ht="18" customHeight="1"/>
    <x:row r="4394" ht="18" customHeight="1"/>
    <x:row r="4395" ht="18" customHeight="1"/>
    <x:row r="4396" ht="18" customHeight="1"/>
    <x:row r="4397" ht="18" customHeight="1"/>
    <x:row r="4398" ht="18" customHeight="1"/>
    <x:row r="4399" ht="18" customHeight="1"/>
    <x:row r="4400" ht="18" customHeight="1"/>
    <x:row r="4401" ht="18" customHeight="1"/>
    <x:row r="4402" ht="18" customHeight="1"/>
    <x:row r="4403" ht="18" customHeight="1"/>
    <x:row r="4404" ht="18" customHeight="1"/>
    <x:row r="4405" ht="18" customHeight="1"/>
    <x:row r="4406" ht="18" customHeight="1"/>
    <x:row r="4407" ht="18" customHeight="1"/>
    <x:row r="4408" ht="18" customHeight="1"/>
    <x:row r="4409" ht="18" customHeight="1"/>
    <x:row r="4410" ht="18" customHeight="1"/>
    <x:row r="4411" ht="18" customHeight="1"/>
    <x:row r="4412" ht="18" customHeight="1"/>
    <x:row r="4413" ht="18" customHeight="1"/>
    <x:row r="4414" ht="18" customHeight="1"/>
    <x:row r="4415" ht="18" customHeight="1"/>
    <x:row r="4416" ht="18" customHeight="1"/>
    <x:row r="4417" ht="18" customHeight="1"/>
    <x:row r="4418" ht="18" customHeight="1"/>
    <x:row r="4419" ht="18" customHeight="1"/>
    <x:row r="4420" ht="18" customHeight="1"/>
    <x:row r="4421" ht="18" customHeight="1"/>
    <x:row r="4422" ht="18" customHeight="1"/>
    <x:row r="4423" ht="18" customHeight="1"/>
    <x:row r="4424" ht="18" customHeight="1"/>
    <x:row r="4425" ht="18" customHeight="1"/>
    <x:row r="4426" ht="18" customHeight="1"/>
    <x:row r="4427" ht="18" customHeight="1"/>
    <x:row r="4428" ht="18" customHeight="1"/>
    <x:row r="4429" ht="18" customHeight="1"/>
    <x:row r="4430" ht="18" customHeight="1"/>
    <x:row r="4431" ht="18" customHeight="1"/>
    <x:row r="4432" ht="18" customHeight="1"/>
    <x:row r="4433" ht="18" customHeight="1"/>
    <x:row r="4434" ht="18" customHeight="1"/>
    <x:row r="4435" ht="18" customHeight="1"/>
    <x:row r="4436" ht="18" customHeight="1"/>
    <x:row r="4437" ht="18" customHeight="1"/>
    <x:row r="4438" ht="18" customHeight="1"/>
    <x:row r="4439" ht="18" customHeight="1"/>
    <x:row r="4440" ht="18" customHeight="1"/>
    <x:row r="4441" ht="18" customHeight="1"/>
    <x:row r="4442" ht="18" customHeight="1"/>
    <x:row r="4443" ht="18" customHeight="1"/>
    <x:row r="4444" ht="18" customHeight="1"/>
    <x:row r="4445" ht="18" customHeight="1"/>
    <x:row r="4446" ht="18" customHeight="1"/>
    <x:row r="4447" ht="18" customHeight="1"/>
    <x:row r="4448" ht="18" customHeight="1"/>
    <x:row r="4449" ht="18" customHeight="1"/>
    <x:row r="4450" ht="18" customHeight="1"/>
    <x:row r="4451" ht="18" customHeight="1"/>
    <x:row r="4452" ht="18" customHeight="1"/>
    <x:row r="4453" ht="18" customHeight="1"/>
    <x:row r="4454" ht="18" customHeight="1"/>
    <x:row r="4455" ht="18" customHeight="1"/>
    <x:row r="4456" ht="18" customHeight="1"/>
    <x:row r="4457" ht="18" customHeight="1"/>
    <x:row r="4458" ht="18" customHeight="1"/>
    <x:row r="4459" ht="18" customHeight="1"/>
    <x:row r="4460" ht="18" customHeight="1"/>
    <x:row r="4461" ht="18" customHeight="1"/>
    <x:row r="4462" ht="18" customHeight="1"/>
    <x:row r="4463" ht="18" customHeight="1"/>
    <x:row r="4464" ht="18" customHeight="1"/>
    <x:row r="4465" ht="18" customHeight="1"/>
    <x:row r="4466" ht="18" customHeight="1"/>
    <x:row r="4467" ht="18" customHeight="1"/>
    <x:row r="4468" ht="18" customHeight="1"/>
    <x:row r="4469" ht="18" customHeight="1"/>
    <x:row r="4470" ht="18" customHeight="1"/>
    <x:row r="4471" ht="18" customHeight="1"/>
    <x:row r="4472" ht="18" customHeight="1"/>
    <x:row r="4473" ht="18" customHeight="1"/>
    <x:row r="4474" ht="18" customHeight="1"/>
    <x:row r="4475" ht="18" customHeight="1"/>
    <x:row r="4476" ht="18" customHeight="1"/>
    <x:row r="4477" ht="18" customHeight="1"/>
    <x:row r="4478" ht="18" customHeight="1"/>
    <x:row r="4479" ht="18" customHeight="1"/>
    <x:row r="4480" ht="18" customHeight="1"/>
    <x:row r="4481" ht="18" customHeight="1"/>
    <x:row r="4482" ht="18" customHeight="1"/>
    <x:row r="4483" ht="18" customHeight="1"/>
    <x:row r="4484" ht="18" customHeight="1"/>
    <x:row r="4485" ht="18" customHeight="1"/>
    <x:row r="4486" ht="18" customHeight="1"/>
    <x:row r="4487" ht="18" customHeight="1"/>
    <x:row r="4488" ht="18" customHeight="1"/>
    <x:row r="4489" ht="18" customHeight="1"/>
    <x:row r="4490" ht="18" customHeight="1"/>
    <x:row r="4491" ht="18" customHeight="1"/>
    <x:row r="4492" ht="18" customHeight="1"/>
    <x:row r="4493" ht="18" customHeight="1"/>
    <x:row r="4494" ht="18" customHeight="1"/>
    <x:row r="4495" ht="18" customHeight="1"/>
    <x:row r="4496" ht="18" customHeight="1"/>
    <x:row r="4497" ht="18" customHeight="1"/>
    <x:row r="4498" ht="18" customHeight="1"/>
    <x:row r="4499" ht="18" customHeight="1"/>
    <x:row r="4500" ht="18" customHeight="1"/>
    <x:row r="4501" ht="18" customHeight="1"/>
    <x:row r="4502" ht="18" customHeight="1"/>
    <x:row r="4503" ht="18" customHeight="1"/>
    <x:row r="4504" ht="18" customHeight="1"/>
    <x:row r="4505" ht="18" customHeight="1"/>
    <x:row r="4506" ht="18" customHeight="1"/>
    <x:row r="4507" ht="18" customHeight="1"/>
    <x:row r="4508" ht="18" customHeight="1"/>
    <x:row r="4509" ht="18" customHeight="1"/>
    <x:row r="4510" ht="18" customHeight="1"/>
    <x:row r="4511" ht="18" customHeight="1"/>
    <x:row r="4512" ht="18" customHeight="1"/>
    <x:row r="4513" ht="18" customHeight="1"/>
    <x:row r="4514" ht="18" customHeight="1"/>
    <x:row r="4515" ht="18" customHeight="1"/>
    <x:row r="4516" ht="18" customHeight="1"/>
    <x:row r="4517" ht="18" customHeight="1"/>
    <x:row r="4518" ht="18" customHeight="1"/>
    <x:row r="4519" ht="18" customHeight="1"/>
    <x:row r="4520" ht="18" customHeight="1"/>
    <x:row r="4521" ht="18" customHeight="1"/>
    <x:row r="4522" ht="18" customHeight="1"/>
    <x:row r="4523" ht="18" customHeight="1"/>
    <x:row r="4524" ht="18" customHeight="1"/>
    <x:row r="4525" ht="18" customHeight="1"/>
    <x:row r="4526" ht="18" customHeight="1"/>
    <x:row r="4527" ht="18" customHeight="1"/>
    <x:row r="4528" ht="18" customHeight="1"/>
    <x:row r="4529" ht="18" customHeight="1"/>
    <x:row r="4530" ht="18" customHeight="1"/>
    <x:row r="4531" ht="18" customHeight="1"/>
    <x:row r="4532" ht="18" customHeight="1"/>
    <x:row r="4533" ht="18" customHeight="1"/>
    <x:row r="4534" ht="18" customHeight="1"/>
    <x:row r="4535" ht="18" customHeight="1"/>
    <x:row r="4536" ht="18" customHeight="1"/>
    <x:row r="4537" ht="18" customHeight="1"/>
    <x:row r="4538" ht="18" customHeight="1"/>
    <x:row r="4539" ht="18" customHeight="1"/>
    <x:row r="4540" ht="18" customHeight="1"/>
    <x:row r="4541" ht="18" customHeight="1"/>
    <x:row r="4542" ht="18" customHeight="1"/>
    <x:row r="4543" ht="18" customHeight="1"/>
    <x:row r="4544" ht="18" customHeight="1"/>
    <x:row r="4545" ht="18" customHeight="1"/>
    <x:row r="4546" ht="18" customHeight="1"/>
    <x:row r="4547" ht="18" customHeight="1"/>
    <x:row r="4548" ht="18" customHeight="1"/>
    <x:row r="4549" ht="18" customHeight="1"/>
    <x:row r="4550" ht="18" customHeight="1"/>
    <x:row r="4551" ht="18" customHeight="1"/>
    <x:row r="4552" ht="18" customHeight="1"/>
    <x:row r="4553" ht="18" customHeight="1"/>
    <x:row r="4554" ht="18" customHeight="1"/>
    <x:row r="4555" ht="18" customHeight="1"/>
    <x:row r="4556" ht="18" customHeight="1"/>
    <x:row r="4557" ht="18" customHeight="1"/>
    <x:row r="4558" ht="18" customHeight="1"/>
    <x:row r="4559" ht="18" customHeight="1"/>
    <x:row r="4560" ht="18" customHeight="1"/>
    <x:row r="4561" ht="18" customHeight="1"/>
    <x:row r="4562" ht="18" customHeight="1"/>
    <x:row r="4563" ht="18" customHeight="1"/>
    <x:row r="4564" ht="18" customHeight="1"/>
    <x:row r="4565" ht="18" customHeight="1"/>
    <x:row r="4566" ht="18" customHeight="1"/>
    <x:row r="4567" ht="18" customHeight="1"/>
    <x:row r="4568" ht="18" customHeight="1"/>
    <x:row r="4569" ht="18" customHeight="1"/>
    <x:row r="4570" ht="18" customHeight="1"/>
    <x:row r="4571" ht="18" customHeight="1"/>
    <x:row r="4572" ht="18" customHeight="1"/>
    <x:row r="4573" ht="18" customHeight="1"/>
    <x:row r="4574" ht="18" customHeight="1"/>
    <x:row r="4575" ht="18" customHeight="1"/>
    <x:row r="4576" ht="18" customHeight="1"/>
    <x:row r="4577" ht="18" customHeight="1"/>
    <x:row r="4578" ht="18" customHeight="1"/>
    <x:row r="4579" ht="18" customHeight="1"/>
    <x:row r="4580" ht="18" customHeight="1"/>
    <x:row r="4581" ht="18" customHeight="1"/>
    <x:row r="4582" ht="18" customHeight="1"/>
    <x:row r="4583" ht="18" customHeight="1"/>
    <x:row r="4584" ht="18" customHeight="1"/>
    <x:row r="4585" ht="18" customHeight="1"/>
    <x:row r="4586" ht="18" customHeight="1"/>
    <x:row r="4587" ht="18" customHeight="1"/>
    <x:row r="4588" ht="18" customHeight="1"/>
    <x:row r="4589" ht="18" customHeight="1"/>
    <x:row r="4590" ht="18" customHeight="1"/>
    <x:row r="4591" ht="18" customHeight="1"/>
    <x:row r="4592" ht="18" customHeight="1"/>
    <x:row r="4593" ht="18" customHeight="1"/>
    <x:row r="4594" ht="18" customHeight="1"/>
    <x:row r="4595" ht="18" customHeight="1"/>
    <x:row r="4596" ht="18" customHeight="1"/>
    <x:row r="4597" ht="18" customHeight="1"/>
    <x:row r="4598" ht="18" customHeight="1"/>
    <x:row r="4599" ht="18" customHeight="1"/>
    <x:row r="4600" ht="18" customHeight="1"/>
    <x:row r="4601" ht="18" customHeight="1"/>
    <x:row r="4602" ht="18" customHeight="1"/>
    <x:row r="4603" ht="18" customHeight="1"/>
    <x:row r="4604" ht="18" customHeight="1"/>
    <x:row r="4605" ht="18" customHeight="1"/>
    <x:row r="4606" ht="18" customHeight="1"/>
    <x:row r="4607" ht="18" customHeight="1"/>
    <x:row r="4608" ht="18" customHeight="1"/>
    <x:row r="4609" ht="18" customHeight="1"/>
    <x:row r="4610" ht="18" customHeight="1"/>
    <x:row r="4611" ht="18" customHeight="1"/>
    <x:row r="4612" ht="18" customHeight="1"/>
    <x:row r="4613" ht="18" customHeight="1"/>
    <x:row r="4614" ht="18" customHeight="1"/>
    <x:row r="4615" ht="18" customHeight="1"/>
    <x:row r="4616" ht="18" customHeight="1"/>
    <x:row r="4617" ht="18" customHeight="1"/>
    <x:row r="4618" ht="18" customHeight="1"/>
    <x:row r="4619" ht="18" customHeight="1"/>
    <x:row r="4620" ht="18" customHeight="1"/>
    <x:row r="4621" ht="18" customHeight="1"/>
    <x:row r="4622" ht="18" customHeight="1"/>
    <x:row r="4623" ht="18" customHeight="1"/>
    <x:row r="4624" ht="18" customHeight="1"/>
    <x:row r="4625" ht="18" customHeight="1"/>
    <x:row r="4626" ht="18" customHeight="1"/>
    <x:row r="4627" ht="18" customHeight="1"/>
    <x:row r="4628" ht="18" customHeight="1"/>
    <x:row r="4629" ht="18" customHeight="1"/>
    <x:row r="4630" ht="18" customHeight="1"/>
    <x:row r="4631" ht="18" customHeight="1"/>
    <x:row r="4632" ht="18" customHeight="1"/>
    <x:row r="4633" ht="18" customHeight="1"/>
    <x:row r="4634" ht="18" customHeight="1"/>
    <x:row r="4635" ht="18" customHeight="1"/>
    <x:row r="4636" ht="18" customHeight="1"/>
    <x:row r="4637" ht="18" customHeight="1"/>
    <x:row r="4638" ht="18" customHeight="1"/>
    <x:row r="4639" ht="18" customHeight="1"/>
    <x:row r="4640" ht="18" customHeight="1"/>
    <x:row r="4641" ht="18" customHeight="1"/>
    <x:row r="4642" ht="18" customHeight="1"/>
    <x:row r="4643" ht="18" customHeight="1"/>
    <x:row r="4644" ht="18" customHeight="1"/>
    <x:row r="4645" ht="18" customHeight="1"/>
    <x:row r="4646" ht="18" customHeight="1"/>
    <x:row r="4647" ht="18" customHeight="1"/>
    <x:row r="4648" ht="18" customHeight="1"/>
    <x:row r="4649" ht="18" customHeight="1"/>
    <x:row r="4650" ht="18" customHeight="1"/>
    <x:row r="4651" ht="18" customHeight="1"/>
    <x:row r="4652" ht="18" customHeight="1"/>
    <x:row r="4653" ht="18" customHeight="1"/>
    <x:row r="4654" ht="18" customHeight="1"/>
    <x:row r="4655" ht="18" customHeight="1"/>
    <x:row r="4656" ht="18" customHeight="1"/>
    <x:row r="4657" ht="18" customHeight="1"/>
    <x:row r="4658" ht="18" customHeight="1"/>
    <x:row r="4659" ht="18" customHeight="1"/>
    <x:row r="4660" ht="18" customHeight="1"/>
    <x:row r="4661" ht="18" customHeight="1"/>
    <x:row r="4662" ht="18" customHeight="1"/>
    <x:row r="4663" ht="18" customHeight="1"/>
    <x:row r="4664" ht="18" customHeight="1"/>
    <x:row r="4665" ht="18" customHeight="1"/>
    <x:row r="4666" ht="18" customHeight="1"/>
    <x:row r="4667" ht="18" customHeight="1"/>
    <x:row r="4668" ht="18" customHeight="1"/>
    <x:row r="4669" ht="18" customHeight="1"/>
    <x:row r="4670" ht="18" customHeight="1"/>
    <x:row r="4671" ht="18" customHeight="1"/>
    <x:row r="4672" ht="18" customHeight="1"/>
    <x:row r="4673" ht="18" customHeight="1"/>
    <x:row r="4674" ht="18" customHeight="1"/>
    <x:row r="4675" ht="18" customHeight="1"/>
    <x:row r="4676" ht="18" customHeight="1"/>
    <x:row r="4677" ht="18" customHeight="1"/>
    <x:row r="4678" ht="18" customHeight="1"/>
    <x:row r="4679" ht="18" customHeight="1"/>
    <x:row r="4680" ht="18" customHeight="1"/>
    <x:row r="4681" ht="18" customHeight="1"/>
    <x:row r="4682" ht="18" customHeight="1"/>
    <x:row r="4683" ht="18" customHeight="1"/>
    <x:row r="4684" ht="18" customHeight="1"/>
    <x:row r="4685" ht="18" customHeight="1"/>
    <x:row r="4686" ht="18" customHeight="1"/>
    <x:row r="4687" ht="18" customHeight="1"/>
    <x:row r="4688" ht="18" customHeight="1"/>
    <x:row r="4689" ht="18" customHeight="1"/>
    <x:row r="4690" ht="18" customHeight="1"/>
    <x:row r="4691" ht="18" customHeight="1"/>
    <x:row r="4692" ht="18" customHeight="1"/>
    <x:row r="4693" ht="18" customHeight="1"/>
    <x:row r="4694" ht="18" customHeight="1"/>
    <x:row r="4695" ht="18" customHeight="1"/>
    <x:row r="4696" ht="18" customHeight="1"/>
    <x:row r="4697" ht="18" customHeight="1"/>
    <x:row r="4698" ht="18" customHeight="1"/>
    <x:row r="4699" ht="18" customHeight="1"/>
    <x:row r="4700" ht="18" customHeight="1"/>
    <x:row r="4701" ht="18" customHeight="1"/>
    <x:row r="4702" ht="18" customHeight="1"/>
    <x:row r="4703" ht="18" customHeight="1"/>
    <x:row r="4704" ht="18" customHeight="1"/>
    <x:row r="4705" ht="18" customHeight="1"/>
    <x:row r="4706" ht="18" customHeight="1"/>
    <x:row r="4707" ht="18" customHeight="1"/>
    <x:row r="4708" ht="18" customHeight="1"/>
    <x:row r="4709" ht="18" customHeight="1"/>
    <x:row r="4710" ht="18" customHeight="1"/>
    <x:row r="4711" ht="18" customHeight="1"/>
    <x:row r="4712" ht="18" customHeight="1"/>
    <x:row r="4713" ht="18" customHeight="1"/>
    <x:row r="4714" ht="18" customHeight="1"/>
    <x:row r="4715" ht="18" customHeight="1"/>
    <x:row r="4716" ht="18" customHeight="1"/>
    <x:row r="4717" ht="18" customHeight="1"/>
    <x:row r="4718" ht="18" customHeight="1"/>
    <x:row r="4719" ht="18" customHeight="1"/>
    <x:row r="4720" ht="18" customHeight="1"/>
    <x:row r="4721" ht="18" customHeight="1"/>
    <x:row r="4722" ht="18" customHeight="1"/>
    <x:row r="4723" ht="18" customHeight="1"/>
    <x:row r="4724" ht="18" customHeight="1"/>
    <x:row r="4725" ht="18" customHeight="1"/>
    <x:row r="4726" ht="18" customHeight="1"/>
    <x:row r="4727" ht="18" customHeight="1"/>
    <x:row r="4728" ht="18" customHeight="1"/>
    <x:row r="4729" ht="18" customHeight="1"/>
    <x:row r="4730" ht="18" customHeight="1"/>
    <x:row r="4731" ht="18" customHeight="1"/>
    <x:row r="4732" ht="18" customHeight="1"/>
    <x:row r="4733" ht="18" customHeight="1"/>
    <x:row r="4734" ht="18" customHeight="1"/>
    <x:row r="4735" ht="18" customHeight="1"/>
    <x:row r="4736" ht="18" customHeight="1"/>
    <x:row r="4737" ht="18" customHeight="1"/>
    <x:row r="4738" ht="18" customHeight="1"/>
    <x:row r="4739" ht="18" customHeight="1"/>
    <x:row r="4740" ht="18" customHeight="1"/>
    <x:row r="4741" ht="18" customHeight="1"/>
    <x:row r="4742" ht="18" customHeight="1"/>
    <x:row r="4743" ht="18" customHeight="1"/>
    <x:row r="4744" ht="18" customHeight="1"/>
    <x:row r="4745" ht="18" customHeight="1"/>
    <x:row r="4746" ht="18" customHeight="1"/>
    <x:row r="4747" ht="18" customHeight="1"/>
    <x:row r="4748" ht="18" customHeight="1"/>
    <x:row r="4749" ht="18" customHeight="1"/>
    <x:row r="4750" ht="18" customHeight="1"/>
    <x:row r="4751" ht="18" customHeight="1"/>
    <x:row r="4752" ht="18" customHeight="1"/>
    <x:row r="4753" ht="18" customHeight="1"/>
    <x:row r="4754" ht="18" customHeight="1"/>
    <x:row r="4755" ht="18" customHeight="1"/>
    <x:row r="4756" ht="18" customHeight="1"/>
    <x:row r="4757" ht="18" customHeight="1"/>
    <x:row r="4758" ht="18" customHeight="1"/>
    <x:row r="4759" ht="18" customHeight="1"/>
    <x:row r="4760" ht="18" customHeight="1"/>
    <x:row r="4761" ht="18" customHeight="1"/>
    <x:row r="4762" ht="18" customHeight="1"/>
    <x:row r="4763" ht="18" customHeight="1"/>
    <x:row r="4764" ht="18" customHeight="1"/>
    <x:row r="4765" ht="18" customHeight="1"/>
    <x:row r="4766" ht="18" customHeight="1"/>
    <x:row r="4767" ht="18" customHeight="1"/>
    <x:row r="4768" ht="18" customHeight="1"/>
    <x:row r="4769" ht="18" customHeight="1"/>
    <x:row r="4770" ht="18" customHeight="1"/>
    <x:row r="4771" ht="18" customHeight="1"/>
    <x:row r="4772" ht="18" customHeight="1"/>
    <x:row r="4773" ht="18" customHeight="1"/>
    <x:row r="4774" ht="18" customHeight="1"/>
    <x:row r="4775" ht="18" customHeight="1"/>
    <x:row r="4776" ht="18" customHeight="1"/>
    <x:row r="4777" ht="18" customHeight="1"/>
    <x:row r="4778" ht="18" customHeight="1"/>
    <x:row r="4779" ht="18" customHeight="1"/>
    <x:row r="4780" ht="18" customHeight="1"/>
    <x:row r="4781" ht="18" customHeight="1"/>
    <x:row r="4782" ht="18" customHeight="1"/>
    <x:row r="4783" ht="18" customHeight="1"/>
    <x:row r="4784" ht="18" customHeight="1"/>
    <x:row r="4785" ht="18" customHeight="1"/>
    <x:row r="4786" ht="18" customHeight="1"/>
    <x:row r="4787" ht="18" customHeight="1"/>
    <x:row r="4788" ht="18" customHeight="1"/>
    <x:row r="4789" ht="18" customHeight="1"/>
    <x:row r="4790" ht="18" customHeight="1"/>
    <x:row r="4791" ht="18" customHeight="1"/>
    <x:row r="4792" ht="18" customHeight="1"/>
    <x:row r="4793" ht="18" customHeight="1"/>
    <x:row r="4794" ht="18" customHeight="1"/>
    <x:row r="4795" ht="18" customHeight="1"/>
    <x:row r="4796" ht="18" customHeight="1"/>
    <x:row r="4797" ht="18" customHeight="1"/>
    <x:row r="4798" ht="18" customHeight="1"/>
    <x:row r="4799" ht="18" customHeight="1"/>
    <x:row r="4800" ht="18" customHeight="1"/>
    <x:row r="4801" ht="18" customHeight="1"/>
    <x:row r="4802" ht="18" customHeight="1"/>
    <x:row r="4803" ht="18" customHeight="1"/>
    <x:row r="4804" ht="18" customHeight="1"/>
    <x:row r="4805" ht="18" customHeight="1"/>
    <x:row r="4806" ht="18" customHeight="1"/>
    <x:row r="4807" ht="18" customHeight="1"/>
    <x:row r="4808" ht="18" customHeight="1"/>
    <x:row r="4809" ht="18" customHeight="1"/>
    <x:row r="4810" ht="18" customHeight="1"/>
    <x:row r="4811" ht="18" customHeight="1"/>
    <x:row r="4812" ht="18" customHeight="1"/>
    <x:row r="4813" ht="18" customHeight="1"/>
    <x:row r="4814" ht="18" customHeight="1"/>
    <x:row r="4815" ht="18" customHeight="1"/>
    <x:row r="4816" ht="18" customHeight="1"/>
    <x:row r="4817" ht="18" customHeight="1"/>
    <x:row r="4818" ht="18" customHeight="1"/>
    <x:row r="4819" ht="18" customHeight="1"/>
    <x:row r="4820" ht="18" customHeight="1"/>
    <x:row r="4821" ht="18" customHeight="1"/>
    <x:row r="4822" ht="18" customHeight="1"/>
    <x:row r="4823" ht="18" customHeight="1"/>
    <x:row r="4824" ht="18" customHeight="1"/>
    <x:row r="4825" ht="18" customHeight="1"/>
    <x:row r="4826" ht="18" customHeight="1"/>
    <x:row r="4827" ht="18" customHeight="1"/>
    <x:row r="4828" ht="18" customHeight="1"/>
    <x:row r="4829" ht="18" customHeight="1"/>
    <x:row r="4830" ht="18" customHeight="1"/>
    <x:row r="4831" ht="18" customHeight="1"/>
    <x:row r="4832" ht="18" customHeight="1"/>
    <x:row r="4833" ht="18" customHeight="1"/>
    <x:row r="4834" ht="18" customHeight="1"/>
    <x:row r="4835" ht="18" customHeight="1"/>
    <x:row r="4836" ht="18" customHeight="1"/>
    <x:row r="4837" ht="18" customHeight="1"/>
    <x:row r="4838" ht="18" customHeight="1"/>
    <x:row r="4839" ht="18" customHeight="1"/>
    <x:row r="4840" ht="18" customHeight="1"/>
    <x:row r="4841" ht="18" customHeight="1"/>
    <x:row r="4842" ht="18" customHeight="1"/>
    <x:row r="4843" ht="18" customHeight="1"/>
    <x:row r="4844" ht="18" customHeight="1"/>
    <x:row r="4845" ht="18" customHeight="1"/>
    <x:row r="4846" ht="18" customHeight="1"/>
    <x:row r="4847" ht="18" customHeight="1"/>
    <x:row r="4848" ht="18" customHeight="1"/>
    <x:row r="4849" ht="18" customHeight="1"/>
    <x:row r="4850" ht="18" customHeight="1"/>
    <x:row r="4851" ht="18" customHeight="1"/>
    <x:row r="4852" ht="18" customHeight="1"/>
    <x:row r="4853" ht="18" customHeight="1"/>
    <x:row r="4854" ht="18" customHeight="1"/>
    <x:row r="4855" ht="18" customHeight="1"/>
    <x:row r="4856" ht="18" customHeight="1"/>
    <x:row r="4857" ht="18" customHeight="1"/>
    <x:row r="4858" ht="18" customHeight="1"/>
    <x:row r="4859" ht="18" customHeight="1"/>
    <x:row r="4860" ht="18" customHeight="1"/>
    <x:row r="4861" ht="18" customHeight="1"/>
    <x:row r="4862" ht="18" customHeight="1"/>
    <x:row r="4863" ht="18" customHeight="1"/>
    <x:row r="4864" ht="18" customHeight="1"/>
    <x:row r="4865" ht="18" customHeight="1"/>
    <x:row r="4866" ht="18" customHeight="1"/>
    <x:row r="4867" ht="18" customHeight="1"/>
    <x:row r="4868" ht="18" customHeight="1"/>
    <x:row r="4869" ht="18" customHeight="1"/>
    <x:row r="4870" ht="18" customHeight="1"/>
    <x:row r="4871" ht="18" customHeight="1"/>
    <x:row r="4872" ht="18" customHeight="1"/>
    <x:row r="4873" ht="18" customHeight="1"/>
    <x:row r="4874" ht="18" customHeight="1"/>
    <x:row r="4875" ht="18" customHeight="1"/>
    <x:row r="4876" ht="18" customHeight="1"/>
    <x:row r="4877" ht="18" customHeight="1"/>
    <x:row r="4878" ht="18" customHeight="1"/>
    <x:row r="4879" ht="18" customHeight="1"/>
    <x:row r="4880" ht="18" customHeight="1"/>
    <x:row r="4881" ht="18" customHeight="1"/>
    <x:row r="4882" ht="18" customHeight="1"/>
    <x:row r="4883" ht="18" customHeight="1"/>
    <x:row r="4884" ht="18" customHeight="1"/>
    <x:row r="4885" ht="18" customHeight="1"/>
    <x:row r="4886" ht="18" customHeight="1"/>
    <x:row r="4887" ht="18" customHeight="1"/>
    <x:row r="4888" ht="18" customHeight="1"/>
    <x:row r="4889" ht="18" customHeight="1"/>
    <x:row r="4890" ht="18" customHeight="1"/>
    <x:row r="4891" ht="18" customHeight="1"/>
    <x:row r="4892" ht="18" customHeight="1"/>
    <x:row r="4893" ht="18" customHeight="1"/>
    <x:row r="4894" ht="18" customHeight="1"/>
    <x:row r="4895" ht="18" customHeight="1"/>
    <x:row r="4896" ht="18" customHeight="1"/>
    <x:row r="4897" ht="18" customHeight="1"/>
    <x:row r="4898" ht="18" customHeight="1"/>
    <x:row r="4899" ht="18" customHeight="1"/>
    <x:row r="4900" ht="18" customHeight="1"/>
    <x:row r="4901" ht="18" customHeight="1"/>
    <x:row r="4902" ht="18" customHeight="1"/>
    <x:row r="4903" ht="18" customHeight="1"/>
    <x:row r="4904" ht="18" customHeight="1"/>
    <x:row r="4905" ht="18" customHeight="1"/>
    <x:row r="4906" ht="18" customHeight="1"/>
    <x:row r="4907" ht="18" customHeight="1"/>
    <x:row r="4908" ht="18" customHeight="1"/>
    <x:row r="4909" ht="18" customHeight="1"/>
    <x:row r="4910" ht="18" customHeight="1"/>
    <x:row r="4911" ht="18" customHeight="1"/>
    <x:row r="4912" ht="18" customHeight="1"/>
    <x:row r="4913" ht="18" customHeight="1"/>
    <x:row r="4914" ht="18" customHeight="1"/>
    <x:row r="4915" ht="18" customHeight="1"/>
    <x:row r="4916" ht="18" customHeight="1"/>
    <x:row r="4917" ht="18" customHeight="1"/>
    <x:row r="4918" ht="18" customHeight="1"/>
    <x:row r="4919" ht="18" customHeight="1"/>
    <x:row r="4920" ht="18" customHeight="1"/>
    <x:row r="4921" ht="18" customHeight="1"/>
    <x:row r="4922" ht="18" customHeight="1"/>
    <x:row r="4923" ht="18" customHeight="1"/>
    <x:row r="4924" ht="18" customHeight="1"/>
    <x:row r="4925" ht="18" customHeight="1"/>
    <x:row r="4926" ht="18" customHeight="1"/>
    <x:row r="4927" ht="18" customHeight="1"/>
    <x:row r="4928" ht="18" customHeight="1"/>
    <x:row r="4929" ht="18" customHeight="1"/>
    <x:row r="4930" ht="18" customHeight="1"/>
    <x:row r="4931" ht="18" customHeight="1"/>
    <x:row r="4932" ht="18" customHeight="1"/>
    <x:row r="4933" ht="18" customHeight="1"/>
    <x:row r="4934" ht="18" customHeight="1"/>
    <x:row r="4935" ht="18" customHeight="1"/>
    <x:row r="4936" ht="18" customHeight="1"/>
    <x:row r="4937" ht="18" customHeight="1"/>
    <x:row r="4938" ht="18" customHeight="1"/>
    <x:row r="4939" ht="18" customHeight="1"/>
    <x:row r="4940" ht="18" customHeight="1"/>
    <x:row r="4941" ht="18" customHeight="1"/>
    <x:row r="4942" ht="18" customHeight="1"/>
    <x:row r="4943" ht="18" customHeight="1"/>
    <x:row r="4944" ht="18" customHeight="1"/>
    <x:row r="4945" ht="18" customHeight="1"/>
    <x:row r="4946" ht="18" customHeight="1"/>
    <x:row r="4947" ht="18" customHeight="1"/>
    <x:row r="4948" ht="18" customHeight="1"/>
    <x:row r="4949" ht="18" customHeight="1"/>
    <x:row r="4950" ht="18" customHeight="1"/>
    <x:row r="4951" ht="18" customHeight="1"/>
    <x:row r="4952" ht="18" customHeight="1"/>
    <x:row r="4953" ht="18" customHeight="1"/>
    <x:row r="4954" ht="18" customHeight="1"/>
    <x:row r="4955" ht="18" customHeight="1"/>
    <x:row r="4956" ht="18" customHeight="1"/>
    <x:row r="4957" ht="18" customHeight="1"/>
    <x:row r="4958" ht="18" customHeight="1"/>
    <x:row r="4959" ht="18" customHeight="1"/>
    <x:row r="4960" ht="18" customHeight="1"/>
    <x:row r="4961" ht="18" customHeight="1"/>
    <x:row r="4962" ht="18" customHeight="1"/>
    <x:row r="4963" ht="18" customHeight="1"/>
    <x:row r="4964" ht="18" customHeight="1"/>
    <x:row r="4965" ht="18" customHeight="1"/>
    <x:row r="4966" ht="18" customHeight="1"/>
    <x:row r="4967" ht="18" customHeight="1"/>
    <x:row r="4968" ht="18" customHeight="1"/>
    <x:row r="4969" ht="18" customHeight="1"/>
    <x:row r="4970" ht="18" customHeight="1"/>
    <x:row r="4971" ht="18" customHeight="1"/>
    <x:row r="4972" ht="18" customHeight="1"/>
    <x:row r="4973" ht="18" customHeight="1"/>
    <x:row r="4974" ht="18" customHeight="1"/>
    <x:row r="4975" ht="18" customHeight="1"/>
    <x:row r="4976" ht="18" customHeight="1"/>
    <x:row r="4977" ht="18" customHeight="1"/>
    <x:row r="4978" ht="18" customHeight="1"/>
    <x:row r="4979" ht="18" customHeight="1"/>
    <x:row r="4980" ht="18" customHeight="1"/>
    <x:row r="4981" ht="18" customHeight="1"/>
    <x:row r="4982" ht="18" customHeight="1"/>
    <x:row r="4983" ht="18" customHeight="1"/>
    <x:row r="4984" ht="18" customHeight="1"/>
    <x:row r="4985" ht="18" customHeight="1"/>
    <x:row r="4986" ht="18" customHeight="1"/>
    <x:row r="4987" ht="18" customHeight="1"/>
    <x:row r="4988" ht="18" customHeight="1"/>
    <x:row r="4989" ht="18" customHeight="1"/>
    <x:row r="4990" ht="18" customHeight="1"/>
    <x:row r="4991" ht="18" customHeight="1"/>
    <x:row r="4992" ht="18" customHeight="1"/>
    <x:row r="4993" ht="18" customHeight="1"/>
    <x:row r="4994" ht="18" customHeight="1"/>
    <x:row r="4995" ht="18" customHeight="1"/>
    <x:row r="4996" ht="18" customHeight="1"/>
    <x:row r="4997" ht="18" customHeight="1"/>
    <x:row r="4998" ht="18" customHeight="1"/>
    <x:row r="4999" ht="18" customHeight="1"/>
    <x:row r="5000" ht="18" customHeight="1"/>
    <x:row r="5001" ht="18" customHeight="1"/>
    <x:row r="5002" ht="18" customHeight="1"/>
    <x:row r="5003" ht="18" customHeight="1"/>
    <x:row r="5004" ht="18" customHeight="1"/>
    <x:row r="5005" ht="18" customHeight="1"/>
    <x:row r="5006" ht="18" customHeight="1"/>
    <x:row r="5007" ht="18" customHeight="1"/>
    <x:row r="5008" ht="18" customHeight="1"/>
    <x:row r="5009" ht="18" customHeight="1"/>
    <x:row r="5010" ht="18" customHeight="1"/>
    <x:row r="5011" ht="18" customHeight="1"/>
    <x:row r="5012" ht="18" customHeight="1"/>
    <x:row r="5013" ht="18" customHeight="1"/>
    <x:row r="5014" ht="18" customHeight="1"/>
    <x:row r="5015" ht="18" customHeight="1"/>
    <x:row r="5016" ht="18" customHeight="1"/>
    <x:row r="5017" ht="18" customHeight="1"/>
    <x:row r="5018" ht="18" customHeight="1"/>
    <x:row r="5019" ht="18" customHeight="1"/>
    <x:row r="5020" ht="18" customHeight="1"/>
    <x:row r="5021" ht="18" customHeight="1"/>
    <x:row r="5022" ht="18" customHeight="1"/>
    <x:row r="5023" ht="18" customHeight="1"/>
    <x:row r="5024" ht="18" customHeight="1"/>
    <x:row r="5025" ht="18" customHeight="1"/>
    <x:row r="5026" ht="18" customHeight="1"/>
    <x:row r="5027" ht="18" customHeight="1"/>
    <x:row r="5028" ht="18" customHeight="1"/>
    <x:row r="5029" ht="18" customHeight="1"/>
    <x:row r="5030" ht="18" customHeight="1"/>
    <x:row r="5031" ht="18" customHeight="1"/>
    <x:row r="5032" ht="18" customHeight="1"/>
    <x:row r="5033" ht="18" customHeight="1"/>
    <x:row r="5034" ht="18" customHeight="1"/>
    <x:row r="5035" ht="18" customHeight="1"/>
    <x:row r="5036" ht="18" customHeight="1"/>
    <x:row r="5037" ht="18" customHeight="1"/>
    <x:row r="5038" ht="18" customHeight="1"/>
    <x:row r="5039" ht="18" customHeight="1"/>
    <x:row r="5040" ht="18" customHeight="1"/>
    <x:row r="5041" ht="18" customHeight="1"/>
    <x:row r="5042" ht="18" customHeight="1"/>
    <x:row r="5043" ht="18" customHeight="1"/>
    <x:row r="5044" ht="18" customHeight="1"/>
    <x:row r="5045" ht="18" customHeight="1"/>
    <x:row r="5046" ht="18" customHeight="1"/>
    <x:row r="5047" ht="18" customHeight="1"/>
    <x:row r="5048" ht="18" customHeight="1"/>
    <x:row r="5049" ht="18" customHeight="1"/>
    <x:row r="5050" ht="18" customHeight="1"/>
    <x:row r="5051" ht="18" customHeight="1"/>
    <x:row r="5052" ht="18" customHeight="1"/>
    <x:row r="5053" ht="18" customHeight="1"/>
    <x:row r="5054" ht="18" customHeight="1"/>
    <x:row r="5055" ht="18" customHeight="1"/>
    <x:row r="5056" ht="18" customHeight="1"/>
    <x:row r="5057" ht="18" customHeight="1"/>
    <x:row r="5058" ht="18" customHeight="1"/>
    <x:row r="5059" ht="18" customHeight="1"/>
    <x:row r="5060" ht="18" customHeight="1"/>
    <x:row r="5061" ht="18" customHeight="1"/>
    <x:row r="5062" ht="18" customHeight="1"/>
    <x:row r="5063" ht="18" customHeight="1"/>
    <x:row r="5064" ht="18" customHeight="1"/>
    <x:row r="5065" ht="18" customHeight="1"/>
    <x:row r="5066" ht="18" customHeight="1"/>
    <x:row r="5067" ht="18" customHeight="1"/>
    <x:row r="5068" ht="18" customHeight="1"/>
    <x:row r="5069" ht="18" customHeight="1"/>
    <x:row r="5070" ht="18" customHeight="1"/>
    <x:row r="5071" ht="18" customHeight="1"/>
    <x:row r="5072" ht="18" customHeight="1"/>
    <x:row r="5073" ht="18" customHeight="1"/>
    <x:row r="5074" ht="18" customHeight="1"/>
    <x:row r="5075" ht="18" customHeight="1"/>
    <x:row r="5076" ht="18" customHeight="1"/>
    <x:row r="5077" ht="18" customHeight="1"/>
    <x:row r="5078" ht="18" customHeight="1"/>
    <x:row r="5079" ht="18" customHeight="1"/>
    <x:row r="5080" ht="18" customHeight="1"/>
    <x:row r="5081" ht="18" customHeight="1"/>
    <x:row r="5082" ht="18" customHeight="1"/>
    <x:row r="5083" ht="18" customHeight="1"/>
    <x:row r="5084" ht="18" customHeight="1"/>
    <x:row r="5085" ht="18" customHeight="1"/>
    <x:row r="5086" ht="18" customHeight="1"/>
    <x:row r="5087" ht="18" customHeight="1"/>
    <x:row r="5088" ht="18" customHeight="1"/>
    <x:row r="5089" ht="18" customHeight="1"/>
    <x:row r="5090" ht="18" customHeight="1"/>
    <x:row r="5091" ht="18" customHeight="1"/>
    <x:row r="5092" ht="18" customHeight="1"/>
    <x:row r="5093" ht="18" customHeight="1"/>
    <x:row r="5094" ht="18" customHeight="1"/>
    <x:row r="5095" ht="18" customHeight="1"/>
    <x:row r="5096" ht="18" customHeight="1"/>
    <x:row r="5097" ht="18" customHeight="1"/>
    <x:row r="5098" ht="18" customHeight="1"/>
    <x:row r="5099" ht="18" customHeight="1"/>
    <x:row r="5100" ht="18" customHeight="1"/>
    <x:row r="5101" ht="18" customHeight="1"/>
    <x:row r="5102" ht="18" customHeight="1"/>
    <x:row r="5103" ht="18" customHeight="1"/>
    <x:row r="5104" ht="18" customHeight="1"/>
    <x:row r="5105" ht="18" customHeight="1"/>
    <x:row r="5106" ht="18" customHeight="1"/>
    <x:row r="5107" ht="18" customHeight="1"/>
    <x:row r="5108" ht="18" customHeight="1"/>
    <x:row r="5109" ht="18" customHeight="1"/>
    <x:row r="5110" ht="18" customHeight="1"/>
    <x:row r="5111" ht="18" customHeight="1"/>
    <x:row r="5112" ht="18" customHeight="1"/>
    <x:row r="5113" ht="18" customHeight="1"/>
    <x:row r="5114" ht="18" customHeight="1"/>
    <x:row r="5115" ht="18" customHeight="1"/>
    <x:row r="5116" ht="18" customHeight="1"/>
    <x:row r="5117" ht="18" customHeight="1"/>
    <x:row r="5118" ht="18" customHeight="1"/>
    <x:row r="5119" ht="18" customHeight="1"/>
    <x:row r="5120" ht="18" customHeight="1"/>
    <x:row r="5121" ht="18" customHeight="1"/>
    <x:row r="5122" ht="18" customHeight="1"/>
    <x:row r="5123" ht="18" customHeight="1"/>
    <x:row r="5124" ht="18" customHeight="1"/>
    <x:row r="5125" ht="18" customHeight="1"/>
    <x:row r="5126" ht="18" customHeight="1"/>
    <x:row r="5127" ht="18" customHeight="1"/>
    <x:row r="5128" ht="18" customHeight="1"/>
    <x:row r="5129" ht="18" customHeight="1"/>
    <x:row r="5130" ht="18" customHeight="1"/>
    <x:row r="5131" ht="18" customHeight="1"/>
    <x:row r="5132" ht="18" customHeight="1"/>
    <x:row r="5133" ht="18" customHeight="1"/>
    <x:row r="5134" ht="18" customHeight="1"/>
    <x:row r="5135" ht="18" customHeight="1"/>
    <x:row r="5136" ht="18" customHeight="1"/>
    <x:row r="5137" ht="18" customHeight="1"/>
    <x:row r="5138" ht="18" customHeight="1"/>
    <x:row r="5139" ht="18" customHeight="1"/>
    <x:row r="5140" ht="18" customHeight="1"/>
    <x:row r="5141" ht="18" customHeight="1"/>
    <x:row r="5142" ht="18" customHeight="1"/>
    <x:row r="5143" ht="18" customHeight="1"/>
    <x:row r="5144" ht="18" customHeight="1"/>
    <x:row r="5145" ht="18" customHeight="1"/>
    <x:row r="5146" ht="18" customHeight="1"/>
    <x:row r="5147" ht="18" customHeight="1"/>
    <x:row r="5148" ht="18" customHeight="1"/>
    <x:row r="5149" ht="18" customHeight="1"/>
    <x:row r="5150" ht="18" customHeight="1"/>
    <x:row r="5151" ht="18" customHeight="1"/>
    <x:row r="5152" ht="18" customHeight="1"/>
    <x:row r="5153" ht="18" customHeight="1"/>
    <x:row r="5154" ht="18" customHeight="1"/>
    <x:row r="5155" ht="18" customHeight="1"/>
    <x:row r="5156" ht="18" customHeight="1"/>
    <x:row r="5157" ht="18" customHeight="1"/>
    <x:row r="5158" ht="18" customHeight="1"/>
    <x:row r="5159" ht="18" customHeight="1"/>
    <x:row r="5160" ht="18" customHeight="1"/>
    <x:row r="5161" ht="18" customHeight="1"/>
    <x:row r="5162" ht="18" customHeight="1"/>
    <x:row r="5163" ht="18" customHeight="1"/>
    <x:row r="5164" ht="18" customHeight="1"/>
    <x:row r="5165" ht="18" customHeight="1"/>
    <x:row r="5166" ht="18" customHeight="1"/>
    <x:row r="5167" ht="18" customHeight="1"/>
    <x:row r="5168" ht="18" customHeight="1"/>
    <x:row r="5169" ht="18" customHeight="1"/>
    <x:row r="5170" ht="18" customHeight="1"/>
    <x:row r="5171" ht="18" customHeight="1"/>
    <x:row r="5172" ht="18" customHeight="1"/>
    <x:row r="5173" ht="18" customHeight="1"/>
    <x:row r="5174" ht="18" customHeight="1"/>
    <x:row r="5175" ht="18" customHeight="1"/>
    <x:row r="5176" ht="18" customHeight="1"/>
    <x:row r="5177" ht="18" customHeight="1"/>
    <x:row r="5178" ht="18" customHeight="1"/>
    <x:row r="5179" ht="18" customHeight="1"/>
    <x:row r="5180" ht="18" customHeight="1"/>
    <x:row r="5181" ht="18" customHeight="1"/>
    <x:row r="5182" ht="18" customHeight="1"/>
    <x:row r="5183" ht="18" customHeight="1"/>
    <x:row r="5184" ht="18" customHeight="1"/>
    <x:row r="5185" ht="18" customHeight="1"/>
    <x:row r="5186" ht="18" customHeight="1"/>
    <x:row r="5187" ht="18" customHeight="1"/>
    <x:row r="5188" ht="18" customHeight="1"/>
    <x:row r="5189" ht="18" customHeight="1"/>
    <x:row r="5190" ht="18" customHeight="1"/>
    <x:row r="5191" ht="18" customHeight="1"/>
    <x:row r="5192" ht="18" customHeight="1"/>
    <x:row r="5193" ht="18" customHeight="1"/>
    <x:row r="5194" ht="18" customHeight="1"/>
    <x:row r="5195" ht="18" customHeight="1"/>
    <x:row r="5196" ht="18" customHeight="1"/>
    <x:row r="5197" ht="18" customHeight="1"/>
    <x:row r="5198" ht="18" customHeight="1"/>
    <x:row r="5199" ht="18" customHeight="1"/>
    <x:row r="5200" ht="18" customHeight="1"/>
    <x:row r="5201" ht="18" customHeight="1"/>
    <x:row r="5202" ht="18" customHeight="1"/>
    <x:row r="5203" ht="18" customHeight="1"/>
    <x:row r="5204" ht="18" customHeight="1"/>
    <x:row r="5205" ht="18" customHeight="1"/>
    <x:row r="5206" ht="18" customHeight="1"/>
    <x:row r="5207" ht="18" customHeight="1"/>
    <x:row r="5208" ht="18" customHeight="1"/>
    <x:row r="5209" ht="18" customHeight="1"/>
    <x:row r="5210" ht="18" customHeight="1"/>
    <x:row r="5211" ht="18" customHeight="1"/>
    <x:row r="5212" ht="18" customHeight="1"/>
    <x:row r="5213" ht="18" customHeight="1"/>
    <x:row r="5214" ht="18" customHeight="1"/>
    <x:row r="5215" ht="18" customHeight="1"/>
    <x:row r="5216" ht="18" customHeight="1"/>
    <x:row r="5217" ht="18" customHeight="1"/>
    <x:row r="5218" ht="18" customHeight="1"/>
    <x:row r="5219" ht="18" customHeight="1"/>
    <x:row r="5220" ht="18" customHeight="1"/>
    <x:row r="5221" ht="18" customHeight="1"/>
    <x:row r="5222" ht="18" customHeight="1"/>
    <x:row r="5223" ht="18" customHeight="1"/>
    <x:row r="5224" ht="18" customHeight="1"/>
    <x:row r="5225" ht="18" customHeight="1"/>
    <x:row r="5226" ht="18" customHeight="1"/>
    <x:row r="5227" ht="18" customHeight="1"/>
    <x:row r="5228" ht="18" customHeight="1"/>
    <x:row r="5229" ht="18" customHeight="1"/>
    <x:row r="5230" ht="18" customHeight="1"/>
    <x:row r="5231" ht="18" customHeight="1"/>
    <x:row r="5232" ht="18" customHeight="1"/>
    <x:row r="5233" ht="18" customHeight="1"/>
    <x:row r="5234" ht="18" customHeight="1"/>
    <x:row r="5235" ht="18" customHeight="1"/>
    <x:row r="5236" ht="18" customHeight="1"/>
    <x:row r="5237" ht="18" customHeight="1"/>
    <x:row r="5238" ht="18" customHeight="1"/>
    <x:row r="5239" ht="18" customHeight="1"/>
    <x:row r="5240" ht="18" customHeight="1"/>
    <x:row r="5241" ht="18" customHeight="1"/>
    <x:row r="5242" ht="18" customHeight="1"/>
    <x:row r="5243" ht="18" customHeight="1"/>
    <x:row r="5244" ht="18" customHeight="1"/>
    <x:row r="5245" ht="18" customHeight="1"/>
    <x:row r="5246" ht="18" customHeight="1"/>
    <x:row r="5247" ht="18" customHeight="1"/>
    <x:row r="5248" ht="18" customHeight="1"/>
    <x:row r="5249" ht="18" customHeight="1"/>
    <x:row r="5250" ht="18" customHeight="1"/>
    <x:row r="5251" ht="18" customHeight="1"/>
    <x:row r="5252" ht="18" customHeight="1"/>
    <x:row r="5253" ht="18" customHeight="1"/>
    <x:row r="5254" ht="18" customHeight="1"/>
    <x:row r="5255" ht="18" customHeight="1"/>
    <x:row r="5256" ht="18" customHeight="1"/>
    <x:row r="5257" ht="18" customHeight="1"/>
    <x:row r="5258" ht="18" customHeight="1"/>
    <x:row r="5259" ht="18" customHeight="1"/>
    <x:row r="5260" ht="18" customHeight="1"/>
    <x:row r="5261" ht="18" customHeight="1"/>
    <x:row r="5262" ht="18" customHeight="1"/>
    <x:row r="5263" ht="18" customHeight="1"/>
    <x:row r="5264" ht="18" customHeight="1"/>
    <x:row r="5265" ht="18" customHeight="1"/>
    <x:row r="5266" ht="18" customHeight="1"/>
    <x:row r="5267" ht="18" customHeight="1"/>
    <x:row r="5268" ht="18" customHeight="1"/>
    <x:row r="5269" ht="18" customHeight="1"/>
    <x:row r="5270" ht="18" customHeight="1"/>
    <x:row r="5271" ht="18" customHeight="1"/>
    <x:row r="5272" ht="18" customHeight="1"/>
    <x:row r="5273" ht="18" customHeight="1"/>
    <x:row r="5274" ht="18" customHeight="1"/>
    <x:row r="5275" ht="18" customHeight="1"/>
    <x:row r="5276" ht="18" customHeight="1"/>
    <x:row r="5277" ht="18" customHeight="1"/>
    <x:row r="5278" ht="18" customHeight="1"/>
    <x:row r="5279" ht="18" customHeight="1"/>
    <x:row r="5280" ht="18" customHeight="1"/>
    <x:row r="5281" ht="18" customHeight="1"/>
    <x:row r="5282" ht="18" customHeight="1"/>
    <x:row r="5283" ht="18" customHeight="1"/>
    <x:row r="5284" ht="18" customHeight="1"/>
    <x:row r="5285" ht="18" customHeight="1"/>
    <x:row r="5286" ht="18" customHeight="1"/>
    <x:row r="5287" ht="18" customHeight="1"/>
    <x:row r="5288" ht="18" customHeight="1"/>
    <x:row r="5289" ht="18" customHeight="1"/>
    <x:row r="5290" ht="18" customHeight="1"/>
    <x:row r="5291" ht="18" customHeight="1"/>
    <x:row r="5292" ht="18" customHeight="1"/>
    <x:row r="5293" ht="18" customHeight="1"/>
    <x:row r="5294" ht="18" customHeight="1"/>
    <x:row r="5295" ht="18" customHeight="1"/>
    <x:row r="5296" ht="18" customHeight="1"/>
    <x:row r="5297" ht="18" customHeight="1"/>
    <x:row r="5298" ht="18" customHeight="1"/>
    <x:row r="5299" ht="18" customHeight="1"/>
    <x:row r="5300" ht="18" customHeight="1"/>
    <x:row r="5301" ht="18" customHeight="1"/>
    <x:row r="5302" ht="18" customHeight="1"/>
    <x:row r="5303" ht="18" customHeight="1"/>
    <x:row r="5304" ht="18" customHeight="1"/>
    <x:row r="5305" ht="18" customHeight="1"/>
    <x:row r="5306" ht="18" customHeight="1"/>
    <x:row r="5307" ht="18" customHeight="1"/>
    <x:row r="5308" ht="18" customHeight="1"/>
    <x:row r="5309" ht="18" customHeight="1"/>
    <x:row r="5310" ht="18" customHeight="1"/>
    <x:row r="5311" ht="18" customHeight="1"/>
    <x:row r="5312" ht="18" customHeight="1"/>
    <x:row r="5313" ht="18" customHeight="1"/>
    <x:row r="5314" ht="18" customHeight="1"/>
    <x:row r="5315" ht="18" customHeight="1"/>
    <x:row r="5316" ht="18" customHeight="1"/>
    <x:row r="5317" ht="18" customHeight="1"/>
    <x:row r="5318" ht="18" customHeight="1"/>
    <x:row r="5319" ht="18" customHeight="1"/>
    <x:row r="5320" ht="18" customHeight="1"/>
    <x:row r="5321" ht="18" customHeight="1"/>
    <x:row r="5322" ht="18" customHeight="1"/>
    <x:row r="5323" ht="18" customHeight="1"/>
    <x:row r="5324" ht="18" customHeight="1"/>
    <x:row r="5325" ht="18" customHeight="1"/>
    <x:row r="5326" ht="18" customHeight="1"/>
    <x:row r="5327" ht="18" customHeight="1"/>
    <x:row r="5328" ht="18" customHeight="1"/>
    <x:row r="5329" ht="18" customHeight="1"/>
    <x:row r="5330" ht="18" customHeight="1"/>
    <x:row r="5331" ht="18" customHeight="1"/>
    <x:row r="5332" ht="18" customHeight="1"/>
    <x:row r="5333" ht="18" customHeight="1"/>
    <x:row r="5334" ht="18" customHeight="1"/>
    <x:row r="5335" ht="18" customHeight="1"/>
    <x:row r="5336" ht="18" customHeight="1"/>
    <x:row r="5337" ht="18" customHeight="1"/>
    <x:row r="5338" ht="18" customHeight="1"/>
    <x:row r="5339" ht="18" customHeight="1"/>
    <x:row r="5340" ht="18" customHeight="1"/>
    <x:row r="5341" ht="18" customHeight="1"/>
    <x:row r="5342" ht="18" customHeight="1"/>
    <x:row r="5343" ht="18" customHeight="1"/>
    <x:row r="5344" ht="18" customHeight="1"/>
    <x:row r="5345" ht="18" customHeight="1"/>
    <x:row r="5346" ht="18" customHeight="1"/>
    <x:row r="5347" ht="18" customHeight="1"/>
    <x:row r="5348" ht="18" customHeight="1"/>
    <x:row r="5349" ht="18" customHeight="1"/>
    <x:row r="5350" ht="18" customHeight="1"/>
    <x:row r="5351" ht="18" customHeight="1"/>
    <x:row r="5352" ht="18" customHeight="1"/>
    <x:row r="5353" ht="18" customHeight="1"/>
    <x:row r="5354" ht="18" customHeight="1"/>
    <x:row r="5355" ht="18" customHeight="1"/>
    <x:row r="5356" ht="18" customHeight="1"/>
    <x:row r="5357" ht="18" customHeight="1"/>
    <x:row r="5358" ht="18" customHeight="1"/>
    <x:row r="5359" ht="18" customHeight="1"/>
    <x:row r="5360" ht="18" customHeight="1"/>
    <x:row r="5361" ht="18" customHeight="1"/>
    <x:row r="5362" ht="18" customHeight="1"/>
    <x:row r="5363" ht="18" customHeight="1"/>
    <x:row r="5364" ht="18" customHeight="1"/>
    <x:row r="5365" ht="18" customHeight="1"/>
    <x:row r="5366" ht="18" customHeight="1"/>
    <x:row r="5367" ht="18" customHeight="1"/>
    <x:row r="5368" ht="18" customHeight="1"/>
    <x:row r="5369" ht="18" customHeight="1"/>
    <x:row r="5370" ht="18" customHeight="1"/>
    <x:row r="5371" ht="18" customHeight="1"/>
    <x:row r="5372" ht="18" customHeight="1"/>
    <x:row r="5373" ht="18" customHeight="1"/>
    <x:row r="5374" ht="18" customHeight="1"/>
    <x:row r="5375" ht="18" customHeight="1"/>
    <x:row r="5376" ht="18" customHeight="1"/>
    <x:row r="5377" ht="18" customHeight="1"/>
    <x:row r="5378" ht="18" customHeight="1"/>
    <x:row r="5379" ht="18" customHeight="1"/>
    <x:row r="5380" ht="18" customHeight="1"/>
    <x:row r="5381" ht="18" customHeight="1"/>
    <x:row r="5382" ht="18" customHeight="1"/>
    <x:row r="5383" ht="18" customHeight="1"/>
    <x:row r="5384" ht="18" customHeight="1"/>
    <x:row r="5385" ht="18" customHeight="1"/>
    <x:row r="5386" ht="18" customHeight="1"/>
    <x:row r="5387" ht="18" customHeight="1"/>
    <x:row r="5388" ht="18" customHeight="1"/>
    <x:row r="5389" ht="18" customHeight="1"/>
    <x:row r="5390" ht="18" customHeight="1"/>
    <x:row r="5391" ht="18" customHeight="1"/>
    <x:row r="5392" ht="18" customHeight="1"/>
    <x:row r="5393" ht="18" customHeight="1"/>
    <x:row r="5394" ht="18" customHeight="1"/>
    <x:row r="5395" ht="18" customHeight="1"/>
    <x:row r="5396" ht="18" customHeight="1"/>
    <x:row r="5397" ht="18" customHeight="1"/>
    <x:row r="5398" ht="18" customHeight="1"/>
    <x:row r="5399" ht="18" customHeight="1"/>
    <x:row r="5400" ht="18" customHeight="1"/>
    <x:row r="5401" ht="18" customHeight="1"/>
    <x:row r="5402" ht="18" customHeight="1"/>
    <x:row r="5403" ht="18" customHeight="1"/>
    <x:row r="5404" ht="18" customHeight="1"/>
    <x:row r="5405" ht="18" customHeight="1"/>
    <x:row r="5406" ht="18" customHeight="1"/>
    <x:row r="5407" ht="18" customHeight="1"/>
    <x:row r="5408" ht="18" customHeight="1"/>
    <x:row r="5409" ht="18" customHeight="1"/>
    <x:row r="5410" ht="18" customHeight="1"/>
    <x:row r="5411" ht="18" customHeight="1"/>
    <x:row r="5412" ht="18" customHeight="1"/>
    <x:row r="5413" ht="18" customHeight="1"/>
    <x:row r="5414" ht="18" customHeight="1"/>
    <x:row r="5415" ht="18" customHeight="1"/>
    <x:row r="5416" ht="18" customHeight="1"/>
    <x:row r="5417" ht="18" customHeight="1"/>
    <x:row r="5418" ht="18" customHeight="1"/>
    <x:row r="5419" ht="18" customHeight="1"/>
    <x:row r="5420" ht="18" customHeight="1"/>
    <x:row r="5421" ht="18" customHeight="1"/>
    <x:row r="5422" ht="18" customHeight="1"/>
    <x:row r="5423" ht="18" customHeight="1"/>
    <x:row r="5424" ht="18" customHeight="1"/>
    <x:row r="5425" ht="18" customHeight="1"/>
    <x:row r="5426" ht="18" customHeight="1"/>
    <x:row r="5427" ht="18" customHeight="1"/>
    <x:row r="5428" ht="18" customHeight="1"/>
    <x:row r="5429" ht="18" customHeight="1"/>
    <x:row r="5430" ht="18" customHeight="1"/>
    <x:row r="5431" ht="18" customHeight="1"/>
    <x:row r="5432" ht="18" customHeight="1"/>
    <x:row r="5433" ht="18" customHeight="1"/>
    <x:row r="5434" ht="18" customHeight="1"/>
    <x:row r="5435" ht="18" customHeight="1"/>
    <x:row r="5436" ht="18" customHeight="1"/>
    <x:row r="5437" ht="18" customHeight="1"/>
    <x:row r="5438" ht="18" customHeight="1"/>
    <x:row r="5439" ht="18" customHeight="1"/>
    <x:row r="5440" ht="18" customHeight="1"/>
    <x:row r="5441" ht="18" customHeight="1"/>
    <x:row r="5442" ht="18" customHeight="1"/>
    <x:row r="5443" ht="18" customHeight="1"/>
    <x:row r="5444" ht="18" customHeight="1"/>
    <x:row r="5445" ht="18" customHeight="1"/>
    <x:row r="5446" ht="18" customHeight="1"/>
    <x:row r="5447" ht="18" customHeight="1"/>
    <x:row r="5448" ht="18" customHeight="1"/>
    <x:row r="5449" ht="18" customHeight="1"/>
    <x:row r="5450" ht="18" customHeight="1"/>
    <x:row r="5451" ht="18" customHeight="1"/>
    <x:row r="5452" ht="18" customHeight="1"/>
    <x:row r="5453" ht="18" customHeight="1"/>
    <x:row r="5454" ht="18" customHeight="1"/>
    <x:row r="5455" ht="18" customHeight="1"/>
    <x:row r="5456" ht="18" customHeight="1"/>
    <x:row r="5457" ht="18" customHeight="1"/>
    <x:row r="5458" ht="18" customHeight="1"/>
    <x:row r="5459" ht="18" customHeight="1"/>
    <x:row r="5460" ht="18" customHeight="1"/>
    <x:row r="5461" ht="18" customHeight="1"/>
    <x:row r="5462" ht="18" customHeight="1"/>
    <x:row r="5463" ht="18" customHeight="1"/>
    <x:row r="5464" ht="18" customHeight="1"/>
    <x:row r="5465" ht="18" customHeight="1"/>
    <x:row r="5466" ht="18" customHeight="1"/>
    <x:row r="5467" ht="18" customHeight="1"/>
    <x:row r="5468" ht="18" customHeight="1"/>
    <x:row r="5469" ht="18" customHeight="1"/>
    <x:row r="5470" ht="18" customHeight="1"/>
    <x:row r="5471" ht="18" customHeight="1"/>
    <x:row r="5472" ht="18" customHeight="1"/>
    <x:row r="5473" ht="18" customHeight="1"/>
    <x:row r="5474" ht="18" customHeight="1"/>
    <x:row r="5475" ht="18" customHeight="1"/>
    <x:row r="5476" ht="18" customHeight="1"/>
    <x:row r="5477" ht="18" customHeight="1"/>
    <x:row r="5478" ht="18" customHeight="1"/>
    <x:row r="5479" ht="18" customHeight="1"/>
    <x:row r="5480" ht="18" customHeight="1"/>
    <x:row r="5481" ht="18" customHeight="1"/>
    <x:row r="5482" ht="18" customHeight="1"/>
    <x:row r="5483" ht="18" customHeight="1"/>
    <x:row r="5484" ht="18" customHeight="1"/>
    <x:row r="5485" ht="18" customHeight="1"/>
    <x:row r="5486" ht="18" customHeight="1"/>
    <x:row r="5487" ht="18" customHeight="1"/>
    <x:row r="5488" ht="18" customHeight="1"/>
    <x:row r="5489" ht="18" customHeight="1"/>
    <x:row r="5490" ht="18" customHeight="1"/>
    <x:row r="5491" ht="18" customHeight="1"/>
    <x:row r="5492" ht="18" customHeight="1"/>
    <x:row r="5493" ht="18" customHeight="1"/>
    <x:row r="5494" ht="18" customHeight="1"/>
    <x:row r="5495" ht="18" customHeight="1"/>
    <x:row r="5496" ht="18" customHeight="1"/>
    <x:row r="5497" ht="18" customHeight="1"/>
    <x:row r="5498" ht="18" customHeight="1"/>
    <x:row r="5499" ht="18" customHeight="1"/>
    <x:row r="5500" ht="18" customHeight="1"/>
    <x:row r="5501" ht="18" customHeight="1"/>
    <x:row r="5502" ht="18" customHeight="1"/>
    <x:row r="5503" ht="18" customHeight="1"/>
    <x:row r="5504" ht="18" customHeight="1"/>
    <x:row r="5505" ht="18" customHeight="1"/>
    <x:row r="5506" ht="18" customHeight="1"/>
    <x:row r="5507" ht="18" customHeight="1"/>
    <x:row r="5508" ht="18" customHeight="1"/>
    <x:row r="5509" ht="18" customHeight="1"/>
    <x:row r="5510" ht="18" customHeight="1"/>
    <x:row r="5511" ht="18" customHeight="1"/>
    <x:row r="5512" ht="18" customHeight="1"/>
    <x:row r="5513" ht="18" customHeight="1"/>
    <x:row r="5514" ht="18" customHeight="1"/>
    <x:row r="5515" ht="18" customHeight="1"/>
    <x:row r="5516" ht="18" customHeight="1"/>
    <x:row r="5517" ht="18" customHeight="1"/>
    <x:row r="5518" ht="18" customHeight="1"/>
    <x:row r="5519" ht="18" customHeight="1"/>
    <x:row r="5520" ht="18" customHeight="1"/>
    <x:row r="5521" ht="18" customHeight="1"/>
    <x:row r="5522" ht="18" customHeight="1"/>
    <x:row r="5523" ht="18" customHeight="1"/>
    <x:row r="5524" ht="18" customHeight="1"/>
    <x:row r="5525" ht="18" customHeight="1"/>
    <x:row r="5526" ht="18" customHeight="1"/>
    <x:row r="5527" ht="18" customHeight="1"/>
    <x:row r="5528" ht="18" customHeight="1"/>
    <x:row r="5529" ht="18" customHeight="1"/>
    <x:row r="5530" ht="18" customHeight="1"/>
    <x:row r="5531" ht="18" customHeight="1"/>
    <x:row r="5532" ht="18" customHeight="1"/>
    <x:row r="5533" ht="18" customHeight="1"/>
    <x:row r="5534" ht="18" customHeight="1"/>
    <x:row r="5535" ht="18" customHeight="1"/>
    <x:row r="5536" ht="18" customHeight="1"/>
    <x:row r="5537" ht="18" customHeight="1"/>
    <x:row r="5538" ht="18" customHeight="1"/>
    <x:row r="5539" ht="18" customHeight="1"/>
    <x:row r="5540" ht="18" customHeight="1"/>
    <x:row r="5541" ht="18" customHeight="1"/>
    <x:row r="5542" ht="18" customHeight="1"/>
    <x:row r="5543" ht="18" customHeight="1"/>
    <x:row r="5544" ht="18" customHeight="1"/>
    <x:row r="5545" ht="18" customHeight="1"/>
    <x:row r="5546" ht="18" customHeight="1"/>
    <x:row r="5547" ht="18" customHeight="1"/>
    <x:row r="5548" ht="18" customHeight="1"/>
    <x:row r="5549" ht="18" customHeight="1"/>
    <x:row r="5550" ht="18" customHeight="1"/>
    <x:row r="5551" ht="18" customHeight="1"/>
    <x:row r="5552" ht="18" customHeight="1"/>
    <x:row r="5553" ht="18" customHeight="1"/>
    <x:row r="5554" ht="18" customHeight="1"/>
    <x:row r="5555" ht="18" customHeight="1"/>
    <x:row r="5556" ht="18" customHeight="1"/>
    <x:row r="5557" ht="18" customHeight="1"/>
    <x:row r="5558" ht="18" customHeight="1"/>
    <x:row r="5559" ht="18" customHeight="1"/>
    <x:row r="5560" ht="18" customHeight="1"/>
    <x:row r="5561" ht="18" customHeight="1"/>
    <x:row r="5562" ht="18" customHeight="1"/>
    <x:row r="5563" ht="18" customHeight="1"/>
    <x:row r="5564" ht="18" customHeight="1"/>
    <x:row r="5565" ht="18" customHeight="1"/>
    <x:row r="5566" ht="18" customHeight="1"/>
    <x:row r="5567" ht="18" customHeight="1"/>
    <x:row r="5568" ht="18" customHeight="1"/>
    <x:row r="5569" ht="18" customHeight="1"/>
    <x:row r="5570" ht="18" customHeight="1"/>
    <x:row r="5571" ht="18" customHeight="1"/>
    <x:row r="5572" ht="18" customHeight="1"/>
    <x:row r="5573" ht="18" customHeight="1"/>
    <x:row r="5574" ht="18" customHeight="1"/>
    <x:row r="5575" ht="18" customHeight="1"/>
    <x:row r="5576" ht="18" customHeight="1"/>
    <x:row r="5577" ht="18" customHeight="1"/>
    <x:row r="5578" ht="18" customHeight="1"/>
    <x:row r="5579" ht="18" customHeight="1"/>
    <x:row r="5580" ht="18" customHeight="1"/>
    <x:row r="5581" ht="18" customHeight="1"/>
    <x:row r="5582" ht="18" customHeight="1"/>
    <x:row r="5583" ht="18" customHeight="1"/>
    <x:row r="5584" ht="18" customHeight="1"/>
    <x:row r="5585" ht="18" customHeight="1"/>
    <x:row r="5586" ht="18" customHeight="1"/>
    <x:row r="5587" ht="18" customHeight="1"/>
    <x:row r="5588" ht="18" customHeight="1"/>
    <x:row r="5589" ht="18" customHeight="1"/>
    <x:row r="5590" ht="18" customHeight="1"/>
    <x:row r="5591" ht="18" customHeight="1"/>
    <x:row r="5592" ht="18" customHeight="1"/>
    <x:row r="5593" ht="18" customHeight="1"/>
    <x:row r="5594" ht="18" customHeight="1"/>
    <x:row r="5595" ht="18" customHeight="1"/>
    <x:row r="5596" ht="18" customHeight="1"/>
    <x:row r="5597" ht="18" customHeight="1"/>
    <x:row r="5598" ht="18" customHeight="1"/>
    <x:row r="5599" ht="18" customHeight="1"/>
    <x:row r="5600" ht="18" customHeight="1"/>
    <x:row r="5601" ht="18" customHeight="1"/>
    <x:row r="5602" ht="18" customHeight="1"/>
    <x:row r="5603" ht="18" customHeight="1"/>
    <x:row r="5604" ht="18" customHeight="1"/>
    <x:row r="5605" ht="18" customHeight="1"/>
    <x:row r="5606" ht="18" customHeight="1"/>
    <x:row r="5607" ht="18" customHeight="1"/>
    <x:row r="5608" ht="18" customHeight="1"/>
    <x:row r="5609" ht="18" customHeight="1"/>
    <x:row r="5610" ht="18" customHeight="1"/>
    <x:row r="5611" ht="18" customHeight="1"/>
    <x:row r="5612" ht="18" customHeight="1"/>
    <x:row r="5613" ht="18" customHeight="1"/>
    <x:row r="5614" ht="18" customHeight="1"/>
    <x:row r="5615" ht="18" customHeight="1"/>
    <x:row r="5616" ht="18" customHeight="1"/>
    <x:row r="5617" ht="18" customHeight="1"/>
    <x:row r="5618" ht="18" customHeight="1"/>
    <x:row r="5619" ht="18" customHeight="1"/>
    <x:row r="5620" ht="18" customHeight="1"/>
    <x:row r="5621" ht="18" customHeight="1"/>
    <x:row r="5622" ht="18" customHeight="1"/>
    <x:row r="5623" ht="18" customHeight="1"/>
    <x:row r="5624" ht="18" customHeight="1"/>
    <x:row r="5625" ht="18" customHeight="1"/>
    <x:row r="5626" ht="18" customHeight="1"/>
    <x:row r="5627" ht="18" customHeight="1"/>
    <x:row r="5628" ht="18" customHeight="1"/>
    <x:row r="5629" ht="18" customHeight="1"/>
    <x:row r="5630" ht="18" customHeight="1"/>
    <x:row r="5631" ht="18" customHeight="1"/>
    <x:row r="5632" ht="18" customHeight="1"/>
    <x:row r="5633" ht="18" customHeight="1"/>
    <x:row r="5634" ht="18" customHeight="1"/>
    <x:row r="5635" ht="18" customHeight="1"/>
    <x:row r="5636" ht="18" customHeight="1"/>
    <x:row r="5637" ht="18" customHeight="1"/>
    <x:row r="5638" ht="18" customHeight="1"/>
    <x:row r="5639" ht="18" customHeight="1"/>
    <x:row r="5640" ht="18" customHeight="1"/>
    <x:row r="5641" ht="18" customHeight="1"/>
    <x:row r="5642" ht="18" customHeight="1"/>
    <x:row r="5643" ht="18" customHeight="1"/>
    <x:row r="5644" ht="18" customHeight="1"/>
    <x:row r="5645" ht="18" customHeight="1"/>
    <x:row r="5646" ht="18" customHeight="1"/>
    <x:row r="5647" ht="18" customHeight="1"/>
    <x:row r="5648" ht="18" customHeight="1"/>
    <x:row r="5649" ht="18" customHeight="1"/>
    <x:row r="5650" ht="18" customHeight="1"/>
    <x:row r="5651" ht="18" customHeight="1"/>
    <x:row r="5652" ht="18" customHeight="1"/>
    <x:row r="5653" ht="18" customHeight="1"/>
    <x:row r="5654" ht="18" customHeight="1"/>
    <x:row r="5655" ht="18" customHeight="1"/>
    <x:row r="5656" ht="18" customHeight="1"/>
    <x:row r="5657" ht="18" customHeight="1"/>
    <x:row r="5658" ht="18" customHeight="1"/>
    <x:row r="5659" ht="18" customHeight="1"/>
    <x:row r="5660" ht="18" customHeight="1"/>
    <x:row r="5661" ht="18" customHeight="1"/>
    <x:row r="5662" ht="18" customHeight="1"/>
    <x:row r="5663" ht="18" customHeight="1"/>
    <x:row r="5664" ht="18" customHeight="1"/>
    <x:row r="5665" ht="18" customHeight="1"/>
    <x:row r="5666" ht="18" customHeight="1"/>
    <x:row r="5667" ht="18" customHeight="1"/>
    <x:row r="5668" ht="18" customHeight="1"/>
    <x:row r="5669" ht="18" customHeight="1"/>
    <x:row r="5670" ht="18" customHeight="1"/>
    <x:row r="5671" ht="18" customHeight="1"/>
    <x:row r="5672" ht="18" customHeight="1"/>
    <x:row r="5673" ht="18" customHeight="1"/>
    <x:row r="5674" ht="18" customHeight="1"/>
    <x:row r="5675" ht="18" customHeight="1"/>
    <x:row r="5676" ht="18" customHeight="1"/>
    <x:row r="5677" ht="18" customHeight="1"/>
    <x:row r="5678" ht="18" customHeight="1"/>
    <x:row r="5679" ht="18" customHeight="1"/>
    <x:row r="5680" ht="18" customHeight="1"/>
    <x:row r="5681" ht="18" customHeight="1"/>
    <x:row r="5682" ht="18" customHeight="1"/>
    <x:row r="5683" ht="18" customHeight="1"/>
    <x:row r="5684" ht="18" customHeight="1"/>
    <x:row r="5685" ht="18" customHeight="1"/>
    <x:row r="5686" ht="18" customHeight="1"/>
    <x:row r="5687" ht="18" customHeight="1"/>
    <x:row r="5688" ht="18" customHeight="1"/>
    <x:row r="5689" ht="18" customHeight="1"/>
    <x:row r="5690" ht="18" customHeight="1"/>
    <x:row r="5691" ht="18" customHeight="1"/>
    <x:row r="5692" ht="18" customHeight="1"/>
    <x:row r="5693" ht="18" customHeight="1"/>
    <x:row r="5694" ht="18" customHeight="1"/>
    <x:row r="5695" ht="18" customHeight="1"/>
    <x:row r="5696" ht="18" customHeight="1"/>
    <x:row r="5697" ht="18" customHeight="1"/>
    <x:row r="5698" ht="18" customHeight="1"/>
    <x:row r="5699" ht="18" customHeight="1"/>
    <x:row r="5700" ht="18" customHeight="1"/>
    <x:row r="5701" ht="18" customHeight="1"/>
    <x:row r="5702" ht="18" customHeight="1"/>
    <x:row r="5703" ht="18" customHeight="1"/>
    <x:row r="5704" ht="18" customHeight="1"/>
    <x:row r="5705" ht="18" customHeight="1"/>
    <x:row r="5706" ht="18" customHeight="1"/>
    <x:row r="5707" ht="18" customHeight="1"/>
    <x:row r="5708" ht="18" customHeight="1"/>
    <x:row r="5709" ht="18" customHeight="1"/>
    <x:row r="5710" ht="18" customHeight="1"/>
    <x:row r="5711" ht="18" customHeight="1"/>
    <x:row r="5712" ht="18" customHeight="1"/>
    <x:row r="5713" ht="18" customHeight="1"/>
    <x:row r="5714" ht="18" customHeight="1"/>
    <x:row r="5715" ht="18" customHeight="1"/>
    <x:row r="5716" ht="18" customHeight="1"/>
    <x:row r="5717" ht="18" customHeight="1"/>
    <x:row r="5718" ht="18" customHeight="1"/>
    <x:row r="5719" ht="18" customHeight="1"/>
    <x:row r="5720" ht="18" customHeight="1"/>
    <x:row r="5721" ht="18" customHeight="1"/>
    <x:row r="5722" ht="18" customHeight="1"/>
    <x:row r="5723" ht="18" customHeight="1"/>
    <x:row r="5724" ht="18" customHeight="1"/>
    <x:row r="5725" ht="18" customHeight="1"/>
    <x:row r="5726" ht="18" customHeight="1"/>
    <x:row r="5727" ht="18" customHeight="1"/>
    <x:row r="5728" ht="18" customHeight="1"/>
    <x:row r="5729" ht="18" customHeight="1"/>
    <x:row r="5730" ht="18" customHeight="1"/>
    <x:row r="5731" ht="18" customHeight="1"/>
    <x:row r="5732" ht="18" customHeight="1"/>
    <x:row r="5733" ht="18" customHeight="1"/>
    <x:row r="5734" ht="18" customHeight="1"/>
    <x:row r="5735" ht="18" customHeight="1"/>
    <x:row r="5736" ht="18" customHeight="1"/>
    <x:row r="5737" ht="18" customHeight="1"/>
    <x:row r="5738" ht="18" customHeight="1"/>
    <x:row r="5739" ht="18" customHeight="1"/>
    <x:row r="5740" ht="18" customHeight="1"/>
    <x:row r="5741" ht="18" customHeight="1"/>
    <x:row r="5742" ht="18" customHeight="1"/>
    <x:row r="5743" ht="18" customHeight="1"/>
    <x:row r="5744" ht="18" customHeight="1"/>
    <x:row r="5745" ht="18" customHeight="1"/>
    <x:row r="5746" ht="18" customHeight="1"/>
    <x:row r="5747" ht="18" customHeight="1"/>
    <x:row r="5748" ht="18" customHeight="1"/>
    <x:row r="5749" ht="18" customHeight="1"/>
    <x:row r="5750" ht="18" customHeight="1"/>
    <x:row r="5751" ht="18" customHeight="1"/>
    <x:row r="5752" ht="18" customHeight="1"/>
    <x:row r="5753" ht="18" customHeight="1"/>
    <x:row r="5754" ht="18" customHeight="1"/>
    <x:row r="5755" ht="18" customHeight="1"/>
    <x:row r="5756" ht="18" customHeight="1"/>
    <x:row r="5757" ht="18" customHeight="1"/>
    <x:row r="5758" ht="18" customHeight="1"/>
    <x:row r="5759" ht="18" customHeight="1"/>
    <x:row r="5760" ht="18" customHeight="1"/>
    <x:row r="5761" ht="18" customHeight="1"/>
    <x:row r="5762" ht="18" customHeight="1"/>
    <x:row r="5763" ht="18" customHeight="1"/>
    <x:row r="5764" ht="18" customHeight="1"/>
    <x:row r="5765" ht="18" customHeight="1"/>
    <x:row r="5766" ht="18" customHeight="1"/>
    <x:row r="5767" ht="18" customHeight="1"/>
    <x:row r="5768" ht="18" customHeight="1"/>
    <x:row r="5769" ht="18" customHeight="1"/>
    <x:row r="5770" ht="18" customHeight="1"/>
    <x:row r="5771" ht="18" customHeight="1"/>
    <x:row r="5772" ht="18" customHeight="1"/>
    <x:row r="5773" ht="18" customHeight="1"/>
    <x:row r="5774" ht="18" customHeight="1"/>
    <x:row r="5775" ht="18" customHeight="1"/>
    <x:row r="5776" ht="18" customHeight="1"/>
    <x:row r="5777" ht="18" customHeight="1"/>
    <x:row r="5778" ht="18" customHeight="1"/>
    <x:row r="5779" ht="18" customHeight="1"/>
    <x:row r="5780" ht="18" customHeight="1"/>
    <x:row r="5781" ht="18" customHeight="1"/>
    <x:row r="5782" ht="18" customHeight="1"/>
    <x:row r="5783" ht="18" customHeight="1"/>
    <x:row r="5784" ht="18" customHeight="1"/>
    <x:row r="5785" ht="18" customHeight="1"/>
    <x:row r="5786" ht="18" customHeight="1"/>
    <x:row r="5787" ht="18" customHeight="1"/>
    <x:row r="5788" ht="18" customHeight="1"/>
    <x:row r="5789" ht="18" customHeight="1"/>
    <x:row r="5790" ht="18" customHeight="1"/>
    <x:row r="5791" ht="18" customHeight="1"/>
    <x:row r="5792" ht="18" customHeight="1"/>
    <x:row r="5793" ht="18" customHeight="1"/>
    <x:row r="5794" ht="18" customHeight="1"/>
    <x:row r="5795" ht="18" customHeight="1"/>
    <x:row r="5796" ht="18" customHeight="1"/>
    <x:row r="5797" ht="18" customHeight="1"/>
    <x:row r="5798" ht="18" customHeight="1"/>
    <x:row r="5799" ht="18" customHeight="1"/>
    <x:row r="5800" ht="18" customHeight="1"/>
    <x:row r="5801" ht="18" customHeight="1"/>
    <x:row r="5802" ht="18" customHeight="1"/>
    <x:row r="5803" ht="18" customHeight="1"/>
    <x:row r="5804" ht="18" customHeight="1"/>
    <x:row r="5805" ht="18" customHeight="1"/>
    <x:row r="5806" ht="18" customHeight="1"/>
    <x:row r="5807" ht="18" customHeight="1"/>
    <x:row r="5808" ht="18" customHeight="1"/>
    <x:row r="5809" ht="18" customHeight="1"/>
    <x:row r="5810" ht="18" customHeight="1"/>
    <x:row r="5811" ht="18" customHeight="1"/>
    <x:row r="5812" ht="18" customHeight="1"/>
    <x:row r="5813" ht="18" customHeight="1"/>
    <x:row r="5814" ht="18" customHeight="1"/>
    <x:row r="5815" ht="18" customHeight="1"/>
    <x:row r="5816" ht="18" customHeight="1"/>
    <x:row r="5817" ht="18" customHeight="1"/>
    <x:row r="5818" ht="18" customHeight="1"/>
    <x:row r="5819" ht="18" customHeight="1"/>
    <x:row r="5820" ht="18" customHeight="1"/>
    <x:row r="5821" ht="18" customHeight="1"/>
    <x:row r="5822" ht="18" customHeight="1"/>
    <x:row r="5823" ht="18" customHeight="1"/>
    <x:row r="5824" ht="18" customHeight="1"/>
    <x:row r="5825" ht="18" customHeight="1"/>
    <x:row r="5826" ht="18" customHeight="1"/>
    <x:row r="5827" ht="18" customHeight="1"/>
    <x:row r="5828" ht="18" customHeight="1"/>
    <x:row r="5829" ht="18" customHeight="1"/>
    <x:row r="5830" ht="18" customHeight="1"/>
    <x:row r="5831" ht="18" customHeight="1"/>
    <x:row r="5832" ht="18" customHeight="1"/>
    <x:row r="5833" ht="18" customHeight="1"/>
    <x:row r="5834" ht="18" customHeight="1"/>
    <x:row r="5835" ht="18" customHeight="1"/>
    <x:row r="5836" ht="18" customHeight="1"/>
    <x:row r="5837" ht="18" customHeight="1"/>
    <x:row r="5838" ht="18" customHeight="1"/>
    <x:row r="5839" ht="18" customHeight="1"/>
    <x:row r="5840" ht="18" customHeight="1"/>
    <x:row r="5841" ht="18" customHeight="1"/>
    <x:row r="5842" ht="18" customHeight="1"/>
    <x:row r="5843" ht="18" customHeight="1"/>
    <x:row r="5844" ht="18" customHeight="1"/>
    <x:row r="5845" ht="18" customHeight="1"/>
    <x:row r="5846" ht="18" customHeight="1"/>
    <x:row r="5847" ht="18" customHeight="1"/>
    <x:row r="5848" ht="18" customHeight="1"/>
    <x:row r="5849" ht="18" customHeight="1"/>
    <x:row r="5850" ht="18" customHeight="1"/>
    <x:row r="5851" ht="18" customHeight="1"/>
    <x:row r="5852" ht="18" customHeight="1"/>
    <x:row r="5853" ht="18" customHeight="1"/>
    <x:row r="5854" ht="18" customHeight="1"/>
    <x:row r="5855" ht="18" customHeight="1"/>
    <x:row r="5856" ht="18" customHeight="1"/>
    <x:row r="5857" ht="18" customHeight="1"/>
    <x:row r="5858" ht="18" customHeight="1"/>
    <x:row r="5859" ht="18" customHeight="1"/>
    <x:row r="5860" ht="18" customHeight="1"/>
    <x:row r="5861" ht="18" customHeight="1"/>
    <x:row r="5862" ht="18" customHeight="1"/>
    <x:row r="5863" ht="18" customHeight="1"/>
    <x:row r="5864" ht="18" customHeight="1"/>
    <x:row r="5865" ht="18" customHeight="1"/>
    <x:row r="5866" ht="18" customHeight="1"/>
    <x:row r="5867" ht="18" customHeight="1"/>
    <x:row r="5868" ht="18" customHeight="1"/>
    <x:row r="5869" ht="18" customHeight="1"/>
    <x:row r="5870" ht="18" customHeight="1"/>
    <x:row r="5871" ht="18" customHeight="1"/>
    <x:row r="5872" ht="18" customHeight="1"/>
    <x:row r="5873" ht="18" customHeight="1"/>
    <x:row r="5874" ht="18" customHeight="1"/>
    <x:row r="5875" ht="18" customHeight="1"/>
    <x:row r="5876" ht="18" customHeight="1"/>
    <x:row r="5877" ht="18" customHeight="1"/>
    <x:row r="5878" ht="18" customHeight="1"/>
    <x:row r="5879" ht="18" customHeight="1"/>
    <x:row r="5880" ht="18" customHeight="1"/>
    <x:row r="5881" ht="18" customHeight="1"/>
    <x:row r="5882" ht="18" customHeight="1"/>
    <x:row r="5883" ht="18" customHeight="1"/>
    <x:row r="5884" ht="18" customHeight="1"/>
    <x:row r="5885" ht="18" customHeight="1"/>
    <x:row r="5886" ht="18" customHeight="1"/>
    <x:row r="5887" ht="18" customHeight="1"/>
    <x:row r="5888" ht="18" customHeight="1"/>
    <x:row r="5889" ht="18" customHeight="1"/>
    <x:row r="5890" ht="18" customHeight="1"/>
    <x:row r="5891" ht="18" customHeight="1"/>
    <x:row r="5892" ht="18" customHeight="1"/>
    <x:row r="5893" ht="18" customHeight="1"/>
    <x:row r="5894" ht="18" customHeight="1"/>
    <x:row r="5895" ht="18" customHeight="1"/>
    <x:row r="5896" ht="18" customHeight="1"/>
    <x:row r="5897" ht="18" customHeight="1"/>
    <x:row r="5898" ht="18" customHeight="1"/>
    <x:row r="5899" ht="18" customHeight="1"/>
    <x:row r="5900" ht="18" customHeight="1"/>
    <x:row r="5901" ht="18" customHeight="1"/>
    <x:row r="5902" ht="18" customHeight="1"/>
    <x:row r="5903" ht="18" customHeight="1"/>
    <x:row r="5904" ht="18" customHeight="1"/>
    <x:row r="5905" ht="18" customHeight="1"/>
    <x:row r="5906" ht="18" customHeight="1"/>
    <x:row r="5907" ht="18" customHeight="1"/>
    <x:row r="5908" ht="18" customHeight="1"/>
    <x:row r="5909" ht="18" customHeight="1"/>
    <x:row r="5910" ht="18" customHeight="1"/>
    <x:row r="5911" ht="18" customHeight="1"/>
    <x:row r="5912" ht="18" customHeight="1"/>
    <x:row r="5913" ht="18" customHeight="1"/>
    <x:row r="5914" ht="18" customHeight="1"/>
    <x:row r="5915" ht="18" customHeight="1"/>
    <x:row r="5916" ht="18" customHeight="1"/>
    <x:row r="5917" ht="18" customHeight="1"/>
    <x:row r="5918" ht="18" customHeight="1"/>
    <x:row r="5919" ht="18" customHeight="1"/>
    <x:row r="5920" ht="18" customHeight="1"/>
    <x:row r="5921" ht="18" customHeight="1"/>
    <x:row r="5922" ht="18" customHeight="1"/>
    <x:row r="5923" ht="18" customHeight="1"/>
    <x:row r="5924" ht="18" customHeight="1"/>
    <x:row r="5925" ht="18" customHeight="1"/>
    <x:row r="5926" ht="18" customHeight="1"/>
    <x:row r="5927" ht="18" customHeight="1"/>
    <x:row r="5928" ht="18" customHeight="1"/>
    <x:row r="5929" ht="18" customHeight="1"/>
    <x:row r="5930" ht="18" customHeight="1"/>
    <x:row r="5931" ht="18" customHeight="1"/>
    <x:row r="5932" ht="18" customHeight="1"/>
    <x:row r="5933" ht="18" customHeight="1"/>
    <x:row r="5934" ht="18" customHeight="1"/>
    <x:row r="5935" ht="18" customHeight="1"/>
    <x:row r="5936" ht="18" customHeight="1"/>
    <x:row r="5937" ht="18" customHeight="1"/>
    <x:row r="5938" ht="18" customHeight="1"/>
    <x:row r="5939" ht="18" customHeight="1"/>
    <x:row r="5940" ht="18" customHeight="1"/>
    <x:row r="5941" ht="18" customHeight="1"/>
    <x:row r="5942" ht="18" customHeight="1"/>
    <x:row r="5943" ht="18" customHeight="1"/>
    <x:row r="5944" ht="18" customHeight="1"/>
    <x:row r="5945" ht="18" customHeight="1"/>
    <x:row r="5946" ht="18" customHeight="1"/>
    <x:row r="5947" ht="18" customHeight="1"/>
    <x:row r="5948" ht="18" customHeight="1"/>
    <x:row r="5949" ht="18" customHeight="1"/>
    <x:row r="5950" ht="18" customHeight="1"/>
    <x:row r="5951" ht="18" customHeight="1"/>
    <x:row r="5952" ht="18" customHeight="1"/>
    <x:row r="5953" ht="18" customHeight="1"/>
    <x:row r="5954" ht="18" customHeight="1"/>
    <x:row r="5955" ht="18" customHeight="1"/>
    <x:row r="5956" ht="18" customHeight="1"/>
    <x:row r="5957" ht="18" customHeight="1"/>
    <x:row r="5958" ht="18" customHeight="1"/>
    <x:row r="5959" ht="18" customHeight="1"/>
    <x:row r="5960" ht="18" customHeight="1"/>
    <x:row r="5961" ht="18" customHeight="1"/>
    <x:row r="5962" ht="18" customHeight="1"/>
    <x:row r="5963" ht="18" customHeight="1"/>
    <x:row r="5964" ht="18" customHeight="1"/>
    <x:row r="5965" ht="18" customHeight="1"/>
    <x:row r="5966" ht="18" customHeight="1"/>
    <x:row r="5967" ht="18" customHeight="1"/>
    <x:row r="5968" ht="18" customHeight="1"/>
    <x:row r="5969" ht="18" customHeight="1"/>
    <x:row r="5970" ht="18" customHeight="1"/>
    <x:row r="5971" ht="18" customHeight="1"/>
    <x:row r="5972" ht="18" customHeight="1"/>
    <x:row r="5973" ht="18" customHeight="1"/>
    <x:row r="5974" ht="18" customHeight="1"/>
    <x:row r="5975" ht="18" customHeight="1"/>
    <x:row r="5976" ht="18" customHeight="1"/>
    <x:row r="5977" ht="18" customHeight="1"/>
    <x:row r="5978" ht="18" customHeight="1"/>
    <x:row r="5979" ht="18" customHeight="1"/>
    <x:row r="5980" ht="18" customHeight="1"/>
    <x:row r="5981" ht="18" customHeight="1"/>
    <x:row r="5982" ht="18" customHeight="1"/>
    <x:row r="5983" ht="18" customHeight="1"/>
    <x:row r="5984" ht="18" customHeight="1"/>
    <x:row r="5985" ht="18" customHeight="1"/>
    <x:row r="5986" ht="18" customHeight="1"/>
    <x:row r="5987" ht="18" customHeight="1"/>
    <x:row r="5988" ht="18" customHeight="1"/>
    <x:row r="5989" ht="18" customHeight="1"/>
    <x:row r="5990" ht="18" customHeight="1"/>
    <x:row r="5991" ht="18" customHeight="1"/>
    <x:row r="5992" ht="18" customHeight="1"/>
    <x:row r="5993" ht="18" customHeight="1"/>
    <x:row r="5994" ht="18" customHeight="1"/>
    <x:row r="5995" ht="18" customHeight="1"/>
    <x:row r="5996" ht="18" customHeight="1"/>
    <x:row r="5997" ht="18" customHeight="1"/>
    <x:row r="5998" ht="18" customHeight="1"/>
    <x:row r="5999" ht="18" customHeight="1"/>
    <x:row r="6000" ht="18" customHeight="1"/>
    <x:row r="6001" ht="18" customHeight="1"/>
    <x:row r="6002" ht="18" customHeight="1"/>
    <x:row r="6003" ht="18" customHeight="1"/>
    <x:row r="6004" ht="18" customHeight="1"/>
    <x:row r="6005" ht="18" customHeight="1"/>
    <x:row r="6006" ht="18" customHeight="1"/>
    <x:row r="6007" ht="18" customHeight="1"/>
    <x:row r="6008" ht="18" customHeight="1"/>
    <x:row r="6009" ht="18" customHeight="1"/>
    <x:row r="6010" ht="18" customHeight="1"/>
    <x:row r="6011" ht="18" customHeight="1"/>
    <x:row r="6012" ht="18" customHeight="1"/>
    <x:row r="6013" ht="18" customHeight="1"/>
    <x:row r="6014" ht="18" customHeight="1"/>
    <x:row r="6015" ht="18" customHeight="1"/>
    <x:row r="6016" ht="18" customHeight="1"/>
    <x:row r="6017" ht="18" customHeight="1"/>
    <x:row r="6018" ht="18" customHeight="1"/>
    <x:row r="6019" ht="18" customHeight="1"/>
    <x:row r="6020" ht="18" customHeight="1"/>
    <x:row r="6021" ht="18" customHeight="1"/>
    <x:row r="6022" ht="18" customHeight="1"/>
    <x:row r="6023" ht="18" customHeight="1"/>
    <x:row r="6024" ht="18" customHeight="1"/>
    <x:row r="6025" ht="18" customHeight="1"/>
    <x:row r="6026" ht="18" customHeight="1"/>
    <x:row r="6027" ht="18" customHeight="1"/>
    <x:row r="6028" ht="18" customHeight="1"/>
    <x:row r="6029" ht="18" customHeight="1"/>
    <x:row r="6030" ht="18" customHeight="1"/>
    <x:row r="6031" ht="18" customHeight="1"/>
    <x:row r="6032" ht="18" customHeight="1"/>
    <x:row r="6033" ht="18" customHeight="1"/>
    <x:row r="6034" ht="18" customHeight="1"/>
    <x:row r="6035" ht="18" customHeight="1"/>
    <x:row r="6036" ht="18" customHeight="1"/>
    <x:row r="6037" ht="18" customHeight="1"/>
    <x:row r="6038" ht="18" customHeight="1"/>
    <x:row r="6039" ht="18" customHeight="1"/>
    <x:row r="6040" ht="18" customHeight="1"/>
    <x:row r="6041" ht="18" customHeight="1"/>
    <x:row r="6042" ht="18" customHeight="1"/>
    <x:row r="6043" ht="18" customHeight="1"/>
    <x:row r="6044" ht="18" customHeight="1"/>
    <x:row r="6045" ht="18" customHeight="1"/>
    <x:row r="6046" ht="18" customHeight="1"/>
    <x:row r="6047" ht="18" customHeight="1"/>
    <x:row r="6048" ht="18" customHeight="1"/>
    <x:row r="6049" ht="18" customHeight="1"/>
    <x:row r="6050" ht="18" customHeight="1"/>
    <x:row r="6051" ht="18" customHeight="1"/>
    <x:row r="6052" ht="18" customHeight="1"/>
    <x:row r="6053" ht="18" customHeight="1"/>
    <x:row r="6054" ht="18" customHeight="1"/>
    <x:row r="6055" ht="18" customHeight="1"/>
    <x:row r="6056" ht="18" customHeight="1"/>
    <x:row r="6057" ht="18" customHeight="1"/>
    <x:row r="6058" ht="18" customHeight="1"/>
    <x:row r="6059" ht="18" customHeight="1"/>
    <x:row r="6060" ht="18" customHeight="1"/>
    <x:row r="6061" ht="18" customHeight="1"/>
    <x:row r="6062" ht="18" customHeight="1"/>
    <x:row r="6063" ht="18" customHeight="1"/>
    <x:row r="6064" ht="18" customHeight="1"/>
    <x:row r="6065" ht="18" customHeight="1"/>
    <x:row r="6066" ht="18" customHeight="1"/>
    <x:row r="6067" ht="18" customHeight="1"/>
    <x:row r="6068" ht="18" customHeight="1"/>
    <x:row r="6069" ht="18" customHeight="1"/>
    <x:row r="6070" ht="18" customHeight="1"/>
    <x:row r="6071" ht="18" customHeight="1"/>
    <x:row r="6072" ht="18" customHeight="1"/>
    <x:row r="6073" ht="18" customHeight="1"/>
    <x:row r="6074" ht="18" customHeight="1"/>
    <x:row r="6075" ht="18" customHeight="1"/>
    <x:row r="6076" ht="18" customHeight="1"/>
    <x:row r="6077" ht="18" customHeight="1"/>
    <x:row r="6078" ht="18" customHeight="1"/>
    <x:row r="6079" ht="18" customHeight="1"/>
    <x:row r="6080" ht="18" customHeight="1"/>
    <x:row r="6081" ht="18" customHeight="1"/>
    <x:row r="6082" ht="18" customHeight="1"/>
    <x:row r="6083" ht="18" customHeight="1"/>
    <x:row r="6084" ht="18" customHeight="1"/>
    <x:row r="6085" ht="18" customHeight="1"/>
    <x:row r="6086" ht="18" customHeight="1"/>
    <x:row r="6087" ht="18" customHeight="1"/>
    <x:row r="6088" ht="18" customHeight="1"/>
    <x:row r="6089" ht="18" customHeight="1"/>
    <x:row r="6090" ht="18" customHeight="1"/>
    <x:row r="6091" ht="18" customHeight="1"/>
    <x:row r="6092" ht="18" customHeight="1"/>
    <x:row r="6093" ht="18" customHeight="1"/>
    <x:row r="6094" ht="18" customHeight="1"/>
    <x:row r="6095" ht="18" customHeight="1"/>
    <x:row r="6096" ht="18" customHeight="1"/>
    <x:row r="6097" ht="18" customHeight="1"/>
    <x:row r="6098" ht="18" customHeight="1"/>
    <x:row r="6099" ht="18" customHeight="1"/>
    <x:row r="6100" ht="18" customHeight="1"/>
    <x:row r="6101" ht="18" customHeight="1"/>
    <x:row r="6102" ht="18" customHeight="1"/>
    <x:row r="6103" ht="18" customHeight="1"/>
    <x:row r="6104" ht="18" customHeight="1"/>
    <x:row r="6105" ht="18" customHeight="1"/>
    <x:row r="6106" ht="18" customHeight="1"/>
    <x:row r="6107" ht="18" customHeight="1"/>
    <x:row r="6108" ht="18" customHeight="1"/>
    <x:row r="6109" ht="18" customHeight="1"/>
    <x:row r="6110" ht="18" customHeight="1"/>
    <x:row r="6111" ht="18" customHeight="1"/>
    <x:row r="6112" ht="18" customHeight="1"/>
    <x:row r="6113" ht="18" customHeight="1"/>
    <x:row r="6114" ht="18" customHeight="1"/>
    <x:row r="6115" ht="18" customHeight="1"/>
    <x:row r="6116" ht="18" customHeight="1"/>
    <x:row r="6117" ht="18" customHeight="1"/>
    <x:row r="6118" ht="18" customHeight="1"/>
    <x:row r="6119" ht="18" customHeight="1"/>
    <x:row r="6120" ht="18" customHeight="1"/>
    <x:row r="6121" ht="18" customHeight="1"/>
    <x:row r="6122" ht="18" customHeight="1"/>
    <x:row r="6123" ht="18" customHeight="1"/>
    <x:row r="6124" ht="18" customHeight="1"/>
    <x:row r="6125" ht="18" customHeight="1"/>
    <x:row r="6126" ht="18" customHeight="1"/>
    <x:row r="6127" ht="18" customHeight="1"/>
    <x:row r="6128" ht="18" customHeight="1"/>
    <x:row r="6129" ht="18" customHeight="1"/>
    <x:row r="6130" ht="18" customHeight="1"/>
    <x:row r="6131" ht="18" customHeight="1"/>
    <x:row r="6132" ht="18" customHeight="1"/>
    <x:row r="6133" ht="18" customHeight="1"/>
    <x:row r="6134" ht="18" customHeight="1"/>
    <x:row r="6135" ht="18" customHeight="1"/>
    <x:row r="6136" ht="18" customHeight="1"/>
    <x:row r="6137" ht="18" customHeight="1"/>
    <x:row r="6138" ht="18" customHeight="1"/>
    <x:row r="6139" ht="18" customHeight="1"/>
    <x:row r="6140" ht="18" customHeight="1"/>
    <x:row r="6141" ht="18" customHeight="1"/>
    <x:row r="6142" ht="18" customHeight="1"/>
    <x:row r="6143" ht="18" customHeight="1"/>
    <x:row r="6144" ht="18" customHeight="1"/>
    <x:row r="6145" ht="18" customHeight="1"/>
    <x:row r="6146" ht="18" customHeight="1"/>
    <x:row r="6147" ht="18" customHeight="1"/>
    <x:row r="6148" ht="18" customHeight="1"/>
    <x:row r="6149" ht="18" customHeight="1"/>
    <x:row r="6150" ht="18" customHeight="1"/>
    <x:row r="6151" ht="18" customHeight="1"/>
    <x:row r="6152" ht="18" customHeight="1"/>
    <x:row r="6153" ht="18" customHeight="1"/>
    <x:row r="6154" ht="18" customHeight="1"/>
    <x:row r="6155" ht="18" customHeight="1"/>
    <x:row r="6156" ht="18" customHeight="1"/>
    <x:row r="6157" ht="18" customHeight="1"/>
    <x:row r="6158" ht="18" customHeight="1"/>
    <x:row r="6159" ht="18" customHeight="1"/>
    <x:row r="6160" ht="18" customHeight="1"/>
    <x:row r="6161" ht="18" customHeight="1"/>
    <x:row r="6162" ht="18" customHeight="1"/>
    <x:row r="6163" ht="18" customHeight="1"/>
    <x:row r="6164" ht="18" customHeight="1"/>
    <x:row r="6165" ht="18" customHeight="1"/>
    <x:row r="6166" ht="18" customHeight="1"/>
    <x:row r="6167" ht="18" customHeight="1"/>
    <x:row r="6168" ht="18" customHeight="1"/>
    <x:row r="6169" ht="18" customHeight="1"/>
    <x:row r="6170" ht="18" customHeight="1"/>
    <x:row r="6171" ht="18" customHeight="1"/>
    <x:row r="6172" ht="18" customHeight="1"/>
    <x:row r="6173" ht="18" customHeight="1"/>
    <x:row r="6174" ht="18" customHeight="1"/>
    <x:row r="6175" ht="18" customHeight="1"/>
    <x:row r="6176" ht="18" customHeight="1"/>
    <x:row r="6177" ht="18" customHeight="1"/>
    <x:row r="6178" ht="18" customHeight="1"/>
    <x:row r="6179" ht="18" customHeight="1"/>
    <x:row r="6180" ht="18" customHeight="1"/>
    <x:row r="6181" ht="18" customHeight="1"/>
    <x:row r="6182" ht="18" customHeight="1"/>
    <x:row r="6183" ht="18" customHeight="1"/>
    <x:row r="6184" ht="18" customHeight="1"/>
    <x:row r="6185" ht="18" customHeight="1"/>
    <x:row r="6186" ht="18" customHeight="1"/>
    <x:row r="6187" ht="18" customHeight="1"/>
    <x:row r="6188" ht="18" customHeight="1"/>
    <x:row r="6189" ht="18" customHeight="1"/>
    <x:row r="6190" ht="18" customHeight="1"/>
    <x:row r="6191" ht="18" customHeight="1"/>
    <x:row r="6192" ht="18" customHeight="1"/>
    <x:row r="6193" ht="18" customHeight="1"/>
    <x:row r="6194" ht="18" customHeight="1"/>
    <x:row r="6195" ht="18" customHeight="1"/>
    <x:row r="6196" ht="18" customHeight="1"/>
    <x:row r="6197" ht="18" customHeight="1"/>
    <x:row r="6198" ht="18" customHeight="1"/>
    <x:row r="6199" ht="18" customHeight="1"/>
    <x:row r="6200" ht="18" customHeight="1"/>
    <x:row r="6201" ht="18" customHeight="1"/>
    <x:row r="6202" ht="18" customHeight="1"/>
    <x:row r="6203" ht="18" customHeight="1"/>
    <x:row r="6204" ht="18" customHeight="1"/>
    <x:row r="6205" ht="18" customHeight="1"/>
    <x:row r="6206" ht="18" customHeight="1"/>
    <x:row r="6207" ht="18" customHeight="1"/>
    <x:row r="6208" ht="18" customHeight="1"/>
    <x:row r="6209" ht="18" customHeight="1"/>
    <x:row r="6210" ht="18" customHeight="1"/>
    <x:row r="6211" ht="18" customHeight="1"/>
    <x:row r="6212" ht="18" customHeight="1"/>
    <x:row r="6213" ht="18" customHeight="1"/>
    <x:row r="6214" ht="18" customHeight="1"/>
    <x:row r="6215" ht="18" customHeight="1"/>
    <x:row r="6216" ht="18" customHeight="1"/>
    <x:row r="6217" ht="18" customHeight="1"/>
    <x:row r="6218" ht="18" customHeight="1"/>
    <x:row r="6219" ht="18" customHeight="1"/>
    <x:row r="6220" ht="18" customHeight="1"/>
    <x:row r="6221" ht="18" customHeight="1"/>
    <x:row r="6222" ht="18" customHeight="1"/>
    <x:row r="6223" ht="18" customHeight="1"/>
    <x:row r="6224" ht="18" customHeight="1"/>
    <x:row r="6225" ht="18" customHeight="1"/>
    <x:row r="6226" ht="18" customHeight="1"/>
    <x:row r="6227" ht="18" customHeight="1"/>
    <x:row r="6228" ht="18" customHeight="1"/>
    <x:row r="6229" ht="18" customHeight="1"/>
    <x:row r="6230" ht="18" customHeight="1"/>
    <x:row r="6231" ht="18" customHeight="1"/>
    <x:row r="6232" ht="18" customHeight="1"/>
    <x:row r="6233" ht="18" customHeight="1"/>
    <x:row r="6234" ht="18" customHeight="1"/>
    <x:row r="6235" ht="18" customHeight="1"/>
    <x:row r="6236" ht="18" customHeight="1"/>
    <x:row r="6237" ht="18" customHeight="1"/>
    <x:row r="6238" ht="18" customHeight="1"/>
    <x:row r="6239" ht="18" customHeight="1"/>
    <x:row r="6240" ht="18" customHeight="1"/>
    <x:row r="6241" ht="18" customHeight="1"/>
    <x:row r="6242" ht="18" customHeight="1"/>
    <x:row r="6243" ht="18" customHeight="1"/>
    <x:row r="6244" ht="18" customHeight="1"/>
    <x:row r="6245" ht="18" customHeight="1"/>
    <x:row r="6246" ht="18" customHeight="1"/>
    <x:row r="6247" ht="18" customHeight="1"/>
    <x:row r="6248" ht="18" customHeight="1"/>
    <x:row r="6249" ht="18" customHeight="1"/>
    <x:row r="6250" ht="18" customHeight="1"/>
    <x:row r="6251" ht="18" customHeight="1"/>
    <x:row r="6252" ht="18" customHeight="1"/>
    <x:row r="6253" ht="18" customHeight="1"/>
    <x:row r="6254" ht="18" customHeight="1"/>
    <x:row r="6255" ht="18" customHeight="1"/>
    <x:row r="6256" ht="18" customHeight="1"/>
    <x:row r="6257" ht="18" customHeight="1"/>
    <x:row r="6258" ht="18" customHeight="1"/>
    <x:row r="6259" ht="18" customHeight="1"/>
    <x:row r="6260" ht="18" customHeight="1"/>
    <x:row r="6261" ht="18" customHeight="1"/>
    <x:row r="6262" ht="18" customHeight="1"/>
    <x:row r="6263" ht="18" customHeight="1"/>
    <x:row r="6264" ht="18" customHeight="1"/>
    <x:row r="6265" ht="18" customHeight="1"/>
    <x:row r="6266" ht="18" customHeight="1"/>
    <x:row r="6267" ht="18" customHeight="1"/>
    <x:row r="6268" ht="18" customHeight="1"/>
    <x:row r="6269" ht="18" customHeight="1"/>
    <x:row r="6270" ht="18" customHeight="1"/>
    <x:row r="6271" ht="18" customHeight="1"/>
    <x:row r="6272" ht="18" customHeight="1"/>
    <x:row r="6273" ht="18" customHeight="1"/>
    <x:row r="6274" ht="18" customHeight="1"/>
    <x:row r="6275" ht="18" customHeight="1"/>
    <x:row r="6276" ht="18" customHeight="1"/>
    <x:row r="6277" ht="18" customHeight="1"/>
    <x:row r="6278" ht="18" customHeight="1"/>
    <x:row r="6279" ht="18" customHeight="1"/>
    <x:row r="6280" ht="18" customHeight="1"/>
    <x:row r="6281" ht="18" customHeight="1"/>
    <x:row r="6282" ht="18" customHeight="1"/>
    <x:row r="6283" ht="18" customHeight="1"/>
    <x:row r="6284" ht="18" customHeight="1"/>
    <x:row r="6285" ht="18" customHeight="1"/>
    <x:row r="6286" ht="18" customHeight="1"/>
    <x:row r="6287" ht="18" customHeight="1"/>
    <x:row r="6288" ht="18" customHeight="1"/>
    <x:row r="6289" ht="18" customHeight="1"/>
    <x:row r="6290" ht="18" customHeight="1"/>
    <x:row r="6291" ht="18" customHeight="1"/>
    <x:row r="6292" ht="18" customHeight="1"/>
    <x:row r="6293" ht="18" customHeight="1"/>
    <x:row r="6294" ht="18" customHeight="1"/>
    <x:row r="6295" ht="18" customHeight="1"/>
    <x:row r="6296" ht="18" customHeight="1"/>
    <x:row r="6297" ht="18" customHeight="1"/>
    <x:row r="6298" ht="18" customHeight="1"/>
    <x:row r="6299" ht="18" customHeight="1"/>
    <x:row r="6300" ht="18" customHeight="1"/>
    <x:row r="6301" ht="18" customHeight="1"/>
    <x:row r="6302" ht="18" customHeight="1"/>
    <x:row r="6303" ht="18" customHeight="1"/>
    <x:row r="6304" ht="18" customHeight="1"/>
    <x:row r="6305" ht="18" customHeight="1"/>
    <x:row r="6306" ht="18" customHeight="1"/>
    <x:row r="6307" ht="18" customHeight="1"/>
    <x:row r="6308" ht="18" customHeight="1"/>
    <x:row r="6309" ht="18" customHeight="1"/>
    <x:row r="6310" ht="18" customHeight="1"/>
    <x:row r="6311" ht="18" customHeight="1"/>
    <x:row r="6312" ht="18" customHeight="1"/>
    <x:row r="6313" ht="18" customHeight="1"/>
    <x:row r="6314" ht="18" customHeight="1"/>
    <x:row r="6315" ht="18" customHeight="1"/>
    <x:row r="6316" ht="18" customHeight="1"/>
    <x:row r="6317" ht="18" customHeight="1"/>
    <x:row r="6318" ht="18" customHeight="1"/>
    <x:row r="6319" ht="18" customHeight="1"/>
    <x:row r="6320" ht="18" customHeight="1"/>
    <x:row r="6321" ht="18" customHeight="1"/>
    <x:row r="6322" ht="18" customHeight="1"/>
    <x:row r="6323" ht="18" customHeight="1"/>
    <x:row r="6324" ht="18" customHeight="1"/>
    <x:row r="6325" ht="18" customHeight="1"/>
    <x:row r="6326" ht="18" customHeight="1"/>
    <x:row r="6327" ht="18" customHeight="1"/>
    <x:row r="6328" ht="18" customHeight="1"/>
    <x:row r="6329" ht="18" customHeight="1"/>
    <x:row r="6330" ht="18" customHeight="1"/>
    <x:row r="6331" ht="18" customHeight="1"/>
    <x:row r="6332" ht="18" customHeight="1"/>
    <x:row r="6333" ht="18" customHeight="1"/>
    <x:row r="6334" ht="18" customHeight="1"/>
    <x:row r="6335" ht="18" customHeight="1"/>
    <x:row r="6336" ht="18" customHeight="1"/>
    <x:row r="6337" ht="18" customHeight="1"/>
    <x:row r="6338" ht="18" customHeight="1"/>
    <x:row r="6339" ht="18" customHeight="1"/>
    <x:row r="6340" ht="18" customHeight="1"/>
    <x:row r="6341" ht="18" customHeight="1"/>
    <x:row r="6342" ht="18" customHeight="1"/>
    <x:row r="6343" ht="18" customHeight="1"/>
    <x:row r="6344" ht="18" customHeight="1"/>
    <x:row r="6345" ht="18" customHeight="1"/>
    <x:row r="6346" ht="18" customHeight="1"/>
    <x:row r="6347" ht="18" customHeight="1"/>
    <x:row r="6348" ht="18" customHeight="1"/>
    <x:row r="6349" ht="18" customHeight="1"/>
    <x:row r="6350" ht="18" customHeight="1"/>
    <x:row r="6351" ht="18" customHeight="1"/>
    <x:row r="6352" ht="18" customHeight="1"/>
    <x:row r="6353" ht="18" customHeight="1"/>
    <x:row r="6354" ht="18" customHeight="1"/>
    <x:row r="6355" ht="18" customHeight="1"/>
    <x:row r="6356" ht="18" customHeight="1"/>
    <x:row r="6357" ht="18" customHeight="1"/>
    <x:row r="6358" ht="18" customHeight="1"/>
    <x:row r="6359" ht="18" customHeight="1"/>
    <x:row r="6360" ht="18" customHeight="1"/>
    <x:row r="6361" ht="18" customHeight="1"/>
    <x:row r="6362" ht="18" customHeight="1"/>
    <x:row r="6363" ht="18" customHeight="1"/>
    <x:row r="6364" ht="18" customHeight="1"/>
    <x:row r="6365" ht="18" customHeight="1"/>
    <x:row r="6366" ht="18" customHeight="1"/>
    <x:row r="6367" ht="18" customHeight="1"/>
    <x:row r="6368" ht="18" customHeight="1"/>
    <x:row r="6369" ht="18" customHeight="1"/>
    <x:row r="6370" ht="18" customHeight="1"/>
    <x:row r="6371" ht="18" customHeight="1"/>
    <x:row r="6372" ht="18" customHeight="1"/>
    <x:row r="6373" ht="18" customHeight="1"/>
    <x:row r="6374" ht="18" customHeight="1"/>
    <x:row r="6375" ht="18" customHeight="1"/>
    <x:row r="6376" ht="18" customHeight="1"/>
    <x:row r="6377" ht="18" customHeight="1"/>
    <x:row r="6378" ht="18" customHeight="1"/>
    <x:row r="6379" ht="18" customHeight="1"/>
    <x:row r="6380" ht="18" customHeight="1"/>
    <x:row r="6381" ht="18" customHeight="1"/>
    <x:row r="6382" ht="18" customHeight="1"/>
    <x:row r="6383" ht="18" customHeight="1"/>
    <x:row r="6384" ht="18" customHeight="1"/>
    <x:row r="6385" ht="18" customHeight="1"/>
    <x:row r="6386" ht="18" customHeight="1"/>
    <x:row r="6387" ht="18" customHeight="1"/>
    <x:row r="6388" ht="18" customHeight="1"/>
    <x:row r="6389" ht="18" customHeight="1"/>
    <x:row r="6390" ht="18" customHeight="1"/>
    <x:row r="6391" ht="18" customHeight="1"/>
    <x:row r="6392" ht="18" customHeight="1"/>
    <x:row r="6393" ht="18" customHeight="1"/>
    <x:row r="6394" ht="18" customHeight="1"/>
    <x:row r="6395" ht="18" customHeight="1"/>
    <x:row r="6396" ht="18" customHeight="1"/>
    <x:row r="6397" ht="18" customHeight="1"/>
    <x:row r="6398" ht="18" customHeight="1"/>
    <x:row r="6399" ht="18" customHeight="1"/>
    <x:row r="6400" ht="18" customHeight="1"/>
    <x:row r="6401" ht="18" customHeight="1"/>
    <x:row r="6402" ht="18" customHeight="1"/>
    <x:row r="6403" ht="18" customHeight="1"/>
    <x:row r="6404" ht="18" customHeight="1"/>
    <x:row r="6405" ht="18" customHeight="1"/>
    <x:row r="6406" ht="18" customHeight="1"/>
    <x:row r="6407" ht="18" customHeight="1"/>
    <x:row r="6408" ht="18" customHeight="1"/>
    <x:row r="6409" ht="18" customHeight="1"/>
    <x:row r="6410" ht="18" customHeight="1"/>
    <x:row r="6411" ht="18" customHeight="1"/>
    <x:row r="6412" ht="18" customHeight="1"/>
    <x:row r="6413" ht="18" customHeight="1"/>
    <x:row r="6414" ht="18" customHeight="1"/>
    <x:row r="6415" ht="18" customHeight="1"/>
    <x:row r="6416" ht="18" customHeight="1"/>
    <x:row r="6417" ht="18" customHeight="1"/>
    <x:row r="6418" ht="18" customHeight="1"/>
    <x:row r="6419" ht="18" customHeight="1"/>
    <x:row r="6420" ht="18" customHeight="1"/>
    <x:row r="6421" ht="18" customHeight="1"/>
    <x:row r="6422" ht="18" customHeight="1"/>
    <x:row r="6423" ht="18" customHeight="1"/>
    <x:row r="6424" ht="18" customHeight="1"/>
    <x:row r="6425" ht="18" customHeight="1"/>
    <x:row r="6426" ht="18" customHeight="1"/>
    <x:row r="6427" ht="18" customHeight="1"/>
    <x:row r="6428" ht="18" customHeight="1"/>
    <x:row r="6429" ht="18" customHeight="1"/>
    <x:row r="6430" ht="18" customHeight="1"/>
    <x:row r="6431" ht="18" customHeight="1"/>
    <x:row r="6432" ht="18" customHeight="1"/>
    <x:row r="6433" ht="18" customHeight="1"/>
    <x:row r="6434" ht="18" customHeight="1"/>
    <x:row r="6435" ht="18" customHeight="1"/>
    <x:row r="6436" ht="18" customHeight="1"/>
    <x:row r="6437" ht="18" customHeight="1"/>
    <x:row r="6438" ht="18" customHeight="1"/>
    <x:row r="6439" ht="18" customHeight="1"/>
    <x:row r="6440" ht="18" customHeight="1"/>
    <x:row r="6441" ht="18" customHeight="1"/>
    <x:row r="6442" ht="18" customHeight="1"/>
    <x:row r="6443" ht="18" customHeight="1"/>
    <x:row r="6444" ht="18" customHeight="1"/>
    <x:row r="6445" ht="18" customHeight="1"/>
    <x:row r="6446" ht="18" customHeight="1"/>
    <x:row r="6447" ht="18" customHeight="1"/>
    <x:row r="6448" ht="18" customHeight="1"/>
    <x:row r="6449" ht="18" customHeight="1"/>
    <x:row r="6450" ht="18" customHeight="1"/>
    <x:row r="6451" ht="18" customHeight="1"/>
    <x:row r="6452" ht="18" customHeight="1"/>
    <x:row r="6453" ht="18" customHeight="1"/>
    <x:row r="6454" ht="18" customHeight="1"/>
    <x:row r="6455" ht="18" customHeight="1"/>
    <x:row r="6456" ht="18" customHeight="1"/>
    <x:row r="6457" ht="18" customHeight="1"/>
    <x:row r="6458" ht="18" customHeight="1"/>
    <x:row r="6459" ht="18" customHeight="1"/>
    <x:row r="6460" ht="18" customHeight="1"/>
    <x:row r="6461" ht="18" customHeight="1"/>
    <x:row r="6462" ht="18" customHeight="1"/>
    <x:row r="6463" ht="18" customHeight="1"/>
    <x:row r="6464" ht="18" customHeight="1"/>
    <x:row r="6465" ht="18" customHeight="1"/>
    <x:row r="6466" ht="18" customHeight="1"/>
    <x:row r="6467" ht="18" customHeight="1"/>
    <x:row r="6468" ht="18" customHeight="1"/>
    <x:row r="6469" ht="18" customHeight="1"/>
    <x:row r="6470" ht="18" customHeight="1"/>
    <x:row r="6471" ht="18" customHeight="1"/>
    <x:row r="6472" ht="18" customHeight="1"/>
    <x:row r="6473" ht="18" customHeight="1"/>
    <x:row r="6474" ht="18" customHeight="1"/>
    <x:row r="6475" ht="18" customHeight="1"/>
    <x:row r="6476" ht="18" customHeight="1"/>
    <x:row r="6477" ht="18" customHeight="1"/>
    <x:row r="6478" ht="18" customHeight="1"/>
    <x:row r="6479" ht="18" customHeight="1"/>
    <x:row r="6480" ht="18" customHeight="1"/>
    <x:row r="6481" ht="18" customHeight="1"/>
    <x:row r="6482" ht="18" customHeight="1"/>
    <x:row r="6483" ht="18" customHeight="1"/>
    <x:row r="6484" ht="18" customHeight="1"/>
    <x:row r="6485" ht="18" customHeight="1"/>
    <x:row r="6486" ht="18" customHeight="1"/>
    <x:row r="6487" ht="18" customHeight="1"/>
    <x:row r="6488" ht="18" customHeight="1"/>
    <x:row r="6489" ht="18" customHeight="1"/>
    <x:row r="6490" ht="18" customHeight="1"/>
    <x:row r="6491" ht="18" customHeight="1"/>
    <x:row r="6492" ht="18" customHeight="1"/>
    <x:row r="6493" ht="18" customHeight="1"/>
    <x:row r="6494" ht="18" customHeight="1"/>
    <x:row r="6495" ht="18" customHeight="1"/>
    <x:row r="6496" ht="18" customHeight="1"/>
    <x:row r="6497" ht="18" customHeight="1"/>
    <x:row r="6498" ht="18" customHeight="1"/>
    <x:row r="6499" ht="18" customHeight="1"/>
    <x:row r="6500" ht="18" customHeight="1"/>
    <x:row r="6501" ht="18" customHeight="1"/>
    <x:row r="6502" ht="18" customHeight="1"/>
    <x:row r="6503" ht="18" customHeight="1"/>
    <x:row r="6504" ht="18" customHeight="1"/>
    <x:row r="6505" ht="18" customHeight="1"/>
    <x:row r="6506" ht="18" customHeight="1"/>
    <x:row r="6507" ht="18" customHeight="1"/>
    <x:row r="6508" ht="18" customHeight="1"/>
    <x:row r="6509" ht="18" customHeight="1"/>
    <x:row r="6510" ht="18" customHeight="1"/>
    <x:row r="6511" ht="18" customHeight="1"/>
    <x:row r="6512" ht="18" customHeight="1"/>
    <x:row r="6513" ht="18" customHeight="1"/>
    <x:row r="6514" ht="18" customHeight="1"/>
    <x:row r="6515" ht="18" customHeight="1"/>
    <x:row r="6516" ht="18" customHeight="1"/>
    <x:row r="6517" ht="18" customHeight="1"/>
    <x:row r="6518" ht="18" customHeight="1"/>
    <x:row r="6519" ht="18" customHeight="1"/>
    <x:row r="6520" ht="18" customHeight="1"/>
    <x:row r="6521" ht="18" customHeight="1"/>
    <x:row r="6522" ht="18" customHeight="1"/>
    <x:row r="6523" ht="18" customHeight="1"/>
    <x:row r="6524" ht="18" customHeight="1"/>
    <x:row r="6525" ht="18" customHeight="1"/>
    <x:row r="6526" ht="18" customHeight="1"/>
    <x:row r="6527" ht="18" customHeight="1"/>
    <x:row r="6528" ht="18" customHeight="1"/>
    <x:row r="6529" ht="18" customHeight="1"/>
    <x:row r="6530" ht="18" customHeight="1"/>
    <x:row r="6531" ht="18" customHeight="1"/>
    <x:row r="6532" ht="18" customHeight="1"/>
    <x:row r="6533" ht="18" customHeight="1"/>
    <x:row r="6534" ht="18" customHeight="1"/>
    <x:row r="6535" ht="18" customHeight="1"/>
    <x:row r="6536" ht="18" customHeight="1"/>
    <x:row r="6537" ht="18" customHeight="1"/>
    <x:row r="6538" ht="18" customHeight="1"/>
    <x:row r="6539" ht="18" customHeight="1"/>
    <x:row r="6540" ht="18" customHeight="1"/>
    <x:row r="6541" ht="18" customHeight="1"/>
    <x:row r="6542" ht="18" customHeight="1"/>
    <x:row r="6543" ht="18" customHeight="1"/>
    <x:row r="6544" ht="18" customHeight="1"/>
    <x:row r="6545" ht="18" customHeight="1"/>
    <x:row r="6546" ht="18" customHeight="1"/>
    <x:row r="6547" ht="18" customHeight="1"/>
    <x:row r="6548" ht="18" customHeight="1"/>
    <x:row r="6549" ht="18" customHeight="1"/>
    <x:row r="6550" ht="18" customHeight="1"/>
    <x:row r="6551" ht="18" customHeight="1"/>
    <x:row r="6552" ht="18" customHeight="1"/>
    <x:row r="6553" ht="18" customHeight="1"/>
    <x:row r="6554" ht="18" customHeight="1"/>
    <x:row r="6555" ht="18" customHeight="1"/>
    <x:row r="6556" ht="18" customHeight="1"/>
    <x:row r="6557" ht="18" customHeight="1"/>
    <x:row r="6558" ht="18" customHeight="1"/>
    <x:row r="6559" ht="18" customHeight="1"/>
    <x:row r="6560" ht="18" customHeight="1"/>
    <x:row r="6561" ht="18" customHeight="1"/>
    <x:row r="6562" ht="18" customHeight="1"/>
    <x:row r="6563" ht="18" customHeight="1"/>
    <x:row r="6564" ht="18" customHeight="1"/>
    <x:row r="6565" ht="18" customHeight="1"/>
    <x:row r="6566" ht="18" customHeight="1"/>
    <x:row r="6567" ht="18" customHeight="1"/>
    <x:row r="6568" ht="18" customHeight="1"/>
    <x:row r="6569" ht="18" customHeight="1"/>
    <x:row r="6570" ht="18" customHeight="1"/>
    <x:row r="6571" ht="18" customHeight="1"/>
    <x:row r="6572" ht="18" customHeight="1"/>
    <x:row r="6573" ht="18" customHeight="1"/>
    <x:row r="6574" ht="18" customHeight="1"/>
    <x:row r="6575" ht="18" customHeight="1"/>
    <x:row r="6576" ht="18" customHeight="1"/>
    <x:row r="6577" ht="18" customHeight="1"/>
    <x:row r="6578" ht="18" customHeight="1"/>
    <x:row r="6579" ht="18" customHeight="1"/>
    <x:row r="6580" ht="18" customHeight="1"/>
    <x:row r="6581" ht="18" customHeight="1"/>
    <x:row r="6582" ht="18" customHeight="1"/>
    <x:row r="6583" ht="18" customHeight="1"/>
    <x:row r="6584" ht="18" customHeight="1"/>
    <x:row r="6585" ht="18" customHeight="1"/>
    <x:row r="6586" ht="18" customHeight="1"/>
    <x:row r="6587" ht="18" customHeight="1"/>
    <x:row r="6588" ht="18" customHeight="1"/>
    <x:row r="6589" ht="18" customHeight="1"/>
    <x:row r="6590" ht="18" customHeight="1"/>
    <x:row r="6591" ht="18" customHeight="1"/>
    <x:row r="6592" ht="18" customHeight="1"/>
    <x:row r="6593" ht="18" customHeight="1"/>
    <x:row r="6594" ht="18" customHeight="1"/>
    <x:row r="6595" ht="18" customHeight="1"/>
    <x:row r="6596" ht="18" customHeight="1"/>
    <x:row r="6597" ht="18" customHeight="1"/>
    <x:row r="6598" ht="18" customHeight="1"/>
    <x:row r="6599" ht="18" customHeight="1"/>
    <x:row r="6600" ht="18" customHeight="1"/>
    <x:row r="6601" ht="18" customHeight="1"/>
    <x:row r="6602" ht="18" customHeight="1"/>
    <x:row r="6603" ht="18" customHeight="1"/>
    <x:row r="6604" ht="18" customHeight="1"/>
    <x:row r="6605" ht="18" customHeight="1"/>
    <x:row r="6606" ht="18" customHeight="1"/>
    <x:row r="6607" ht="18" customHeight="1"/>
    <x:row r="6608" ht="18" customHeight="1"/>
    <x:row r="6609" ht="18" customHeight="1"/>
    <x:row r="6610" ht="18" customHeight="1"/>
    <x:row r="6611" ht="18" customHeight="1"/>
    <x:row r="6612" ht="18" customHeight="1"/>
    <x:row r="6613" ht="18" customHeight="1"/>
    <x:row r="6614" ht="18" customHeight="1"/>
    <x:row r="6615" ht="18" customHeight="1"/>
    <x:row r="6616" ht="18" customHeight="1"/>
    <x:row r="6617" ht="18" customHeight="1"/>
    <x:row r="6618" ht="18" customHeight="1"/>
    <x:row r="6619" ht="18" customHeight="1"/>
    <x:row r="6620" ht="18" customHeight="1"/>
    <x:row r="6621" ht="18" customHeight="1"/>
    <x:row r="6622" ht="18" customHeight="1"/>
    <x:row r="6623" ht="18" customHeight="1"/>
    <x:row r="6624" ht="18" customHeight="1"/>
    <x:row r="6625" ht="18" customHeight="1"/>
    <x:row r="6626" ht="18" customHeight="1"/>
    <x:row r="6627" ht="18" customHeight="1"/>
    <x:row r="6628" ht="18" customHeight="1"/>
    <x:row r="6629" ht="18" customHeight="1"/>
    <x:row r="6630" ht="18" customHeight="1"/>
    <x:row r="6631" ht="18" customHeight="1"/>
    <x:row r="6632" ht="18" customHeight="1"/>
    <x:row r="6633" ht="18" customHeight="1"/>
    <x:row r="6634" ht="18" customHeight="1"/>
    <x:row r="6635" ht="18" customHeight="1"/>
    <x:row r="6636" ht="18" customHeight="1"/>
    <x:row r="6637" ht="18" customHeight="1"/>
    <x:row r="6638" ht="18" customHeight="1"/>
    <x:row r="6639" ht="18" customHeight="1"/>
    <x:row r="6640" ht="18" customHeight="1"/>
    <x:row r="6641" ht="18" customHeight="1"/>
    <x:row r="6642" ht="18" customHeight="1"/>
    <x:row r="6643" ht="18" customHeight="1"/>
    <x:row r="6644" ht="18" customHeight="1"/>
    <x:row r="6645" ht="18" customHeight="1"/>
    <x:row r="6646" ht="18" customHeight="1"/>
    <x:row r="6647" ht="18" customHeight="1"/>
    <x:row r="6648" ht="18" customHeight="1"/>
    <x:row r="6649" ht="18" customHeight="1"/>
    <x:row r="6650" ht="18" customHeight="1"/>
    <x:row r="6651" ht="18" customHeight="1"/>
    <x:row r="6652" ht="18" customHeight="1"/>
    <x:row r="6653" ht="18" customHeight="1"/>
    <x:row r="6654" ht="18" customHeight="1"/>
    <x:row r="6655" ht="18" customHeight="1"/>
    <x:row r="6656" ht="18" customHeight="1"/>
    <x:row r="6657" ht="18" customHeight="1"/>
    <x:row r="6658" ht="18" customHeight="1"/>
    <x:row r="6659" ht="18" customHeight="1"/>
    <x:row r="6660" ht="18" customHeight="1"/>
    <x:row r="6661" ht="18" customHeight="1"/>
    <x:row r="6662" ht="18" customHeight="1"/>
    <x:row r="6663" ht="18" customHeight="1"/>
    <x:row r="6664" ht="18" customHeight="1"/>
    <x:row r="6665" ht="18" customHeight="1"/>
    <x:row r="6666" ht="18" customHeight="1"/>
    <x:row r="6667" ht="18" customHeight="1"/>
    <x:row r="6668" ht="18" customHeight="1"/>
    <x:row r="6669" ht="18" customHeight="1"/>
    <x:row r="6670" ht="18" customHeight="1"/>
    <x:row r="6671" ht="18" customHeight="1"/>
    <x:row r="6672" ht="18" customHeight="1"/>
    <x:row r="6673" ht="18" customHeight="1"/>
    <x:row r="6674" ht="18" customHeight="1"/>
    <x:row r="6675" ht="18" customHeight="1"/>
    <x:row r="6676" ht="18" customHeight="1"/>
    <x:row r="6677" ht="18" customHeight="1"/>
    <x:row r="6678" ht="18" customHeight="1"/>
    <x:row r="6679" ht="18" customHeight="1"/>
    <x:row r="6680" ht="18" customHeight="1"/>
    <x:row r="6681" ht="18" customHeight="1"/>
    <x:row r="6682" ht="18" customHeight="1"/>
    <x:row r="6683" ht="18" customHeight="1"/>
    <x:row r="6684" ht="18" customHeight="1"/>
    <x:row r="6685" ht="18" customHeight="1"/>
    <x:row r="6686" ht="18" customHeight="1"/>
    <x:row r="6687" ht="18" customHeight="1"/>
    <x:row r="6688" ht="18" customHeight="1"/>
    <x:row r="6689" ht="18" customHeight="1"/>
    <x:row r="6690" ht="18" customHeight="1"/>
    <x:row r="6691" ht="18" customHeight="1"/>
    <x:row r="6692" ht="18" customHeight="1"/>
    <x:row r="6693" ht="18" customHeight="1"/>
    <x:row r="6694" ht="18" customHeight="1"/>
    <x:row r="6695" ht="18" customHeight="1"/>
    <x:row r="6696" ht="18" customHeight="1"/>
    <x:row r="6697" ht="18" customHeight="1"/>
    <x:row r="6698" ht="18" customHeight="1"/>
    <x:row r="6699" ht="18" customHeight="1"/>
    <x:row r="6700" ht="18" customHeight="1"/>
    <x:row r="6701" ht="18" customHeight="1"/>
    <x:row r="6702" ht="18" customHeight="1"/>
    <x:row r="6703" ht="18" customHeight="1"/>
    <x:row r="6704" ht="18" customHeight="1"/>
    <x:row r="6705" ht="18" customHeight="1"/>
    <x:row r="6706" ht="18" customHeight="1"/>
    <x:row r="6707" ht="18" customHeight="1"/>
    <x:row r="6708" ht="18" customHeight="1"/>
    <x:row r="6709" ht="18" customHeight="1"/>
    <x:row r="6710" ht="18" customHeight="1"/>
    <x:row r="6711" ht="18" customHeight="1"/>
    <x:row r="6712" ht="18" customHeight="1"/>
    <x:row r="6713" ht="18" customHeight="1"/>
    <x:row r="6714" ht="18" customHeight="1"/>
    <x:row r="6715" ht="18" customHeight="1"/>
    <x:row r="6716" ht="18" customHeight="1"/>
    <x:row r="6717" ht="18" customHeight="1"/>
    <x:row r="6718" ht="18" customHeight="1"/>
    <x:row r="6719" ht="18" customHeight="1"/>
    <x:row r="6720" ht="18" customHeight="1"/>
    <x:row r="6721" ht="18" customHeight="1"/>
    <x:row r="6722" ht="18" customHeight="1"/>
    <x:row r="6723" ht="18" customHeight="1"/>
    <x:row r="6724" ht="18" customHeight="1"/>
    <x:row r="6725" ht="18" customHeight="1"/>
    <x:row r="6726" ht="18" customHeight="1"/>
    <x:row r="6727" ht="18" customHeight="1"/>
    <x:row r="6728" ht="18" customHeight="1"/>
    <x:row r="6729" ht="18" customHeight="1"/>
    <x:row r="6730" ht="18" customHeight="1"/>
    <x:row r="6731" ht="18" customHeight="1"/>
    <x:row r="6732" ht="18" customHeight="1"/>
    <x:row r="6733" ht="18" customHeight="1"/>
    <x:row r="6734" ht="18" customHeight="1"/>
    <x:row r="6735" ht="18" customHeight="1"/>
    <x:row r="6736" ht="18" customHeight="1"/>
    <x:row r="6737" ht="18" customHeight="1"/>
    <x:row r="6738" ht="18" customHeight="1"/>
    <x:row r="6739" ht="18" customHeight="1"/>
    <x:row r="6740" ht="18" customHeight="1"/>
    <x:row r="6741" ht="18" customHeight="1"/>
    <x:row r="6742" ht="18" customHeight="1"/>
    <x:row r="6743" ht="18" customHeight="1"/>
    <x:row r="6744" ht="18" customHeight="1"/>
    <x:row r="6745" ht="18" customHeight="1"/>
    <x:row r="6746" ht="18" customHeight="1"/>
    <x:row r="6747" ht="18" customHeight="1"/>
    <x:row r="6748" ht="18" customHeight="1"/>
    <x:row r="6749" ht="18" customHeight="1"/>
    <x:row r="6750" ht="18" customHeight="1"/>
    <x:row r="6751" ht="18" customHeight="1"/>
    <x:row r="6752" ht="18" customHeight="1"/>
    <x:row r="6753" ht="18" customHeight="1"/>
    <x:row r="6754" ht="18" customHeight="1"/>
    <x:row r="6755" ht="18" customHeight="1"/>
    <x:row r="6756" ht="18" customHeight="1"/>
    <x:row r="6757" ht="18" customHeight="1"/>
    <x:row r="6758" ht="18" customHeight="1"/>
    <x:row r="6759" ht="18" customHeight="1"/>
    <x:row r="6760" ht="18" customHeight="1"/>
    <x:row r="6761" ht="18" customHeight="1"/>
    <x:row r="6762" ht="18" customHeight="1"/>
    <x:row r="6763" ht="18" customHeight="1"/>
    <x:row r="6764" ht="18" customHeight="1"/>
    <x:row r="6765" ht="18" customHeight="1"/>
    <x:row r="6766" ht="18" customHeight="1"/>
    <x:row r="6767" ht="18" customHeight="1"/>
    <x:row r="6768" ht="18" customHeight="1"/>
    <x:row r="6769" ht="18" customHeight="1"/>
    <x:row r="6770" ht="18" customHeight="1"/>
    <x:row r="6771" ht="18" customHeight="1"/>
    <x:row r="6772" ht="18" customHeight="1"/>
    <x:row r="6773" ht="18" customHeight="1"/>
    <x:row r="6774" ht="18" customHeight="1"/>
    <x:row r="6775" ht="18" customHeight="1"/>
    <x:row r="6776" ht="18" customHeight="1"/>
    <x:row r="6777" ht="18" customHeight="1"/>
    <x:row r="6778" ht="18" customHeight="1"/>
    <x:row r="6779" ht="18" customHeight="1"/>
    <x:row r="6780" ht="18" customHeight="1"/>
    <x:row r="6781" ht="18" customHeight="1"/>
    <x:row r="6782" ht="18" customHeight="1"/>
    <x:row r="6783" ht="18" customHeight="1"/>
    <x:row r="6784" ht="18" customHeight="1"/>
    <x:row r="6785" ht="18" customHeight="1"/>
    <x:row r="6786" ht="18" customHeight="1"/>
    <x:row r="6787" ht="18" customHeight="1"/>
    <x:row r="6788" ht="18" customHeight="1"/>
    <x:row r="6789" ht="18" customHeight="1"/>
    <x:row r="6790" ht="18" customHeight="1"/>
    <x:row r="6791" ht="18" customHeight="1"/>
    <x:row r="6792" ht="18" customHeight="1"/>
    <x:row r="6793" ht="18" customHeight="1"/>
    <x:row r="6794" ht="18" customHeight="1"/>
    <x:row r="6795" ht="18" customHeight="1"/>
    <x:row r="6796" ht="18" customHeight="1"/>
    <x:row r="6797" ht="18" customHeight="1"/>
    <x:row r="6798" ht="18" customHeight="1"/>
    <x:row r="6799" ht="18" customHeight="1"/>
    <x:row r="6800" ht="18" customHeight="1"/>
    <x:row r="6801" ht="18" customHeight="1"/>
    <x:row r="6802" ht="18" customHeight="1"/>
    <x:row r="6803" ht="18" customHeight="1"/>
    <x:row r="6804" ht="18" customHeight="1"/>
    <x:row r="6805" ht="18" customHeight="1"/>
    <x:row r="6806" ht="18" customHeight="1"/>
    <x:row r="6807" ht="18" customHeight="1"/>
    <x:row r="6808" ht="18" customHeight="1"/>
    <x:row r="6809" ht="18" customHeight="1"/>
    <x:row r="6810" ht="18" customHeight="1"/>
    <x:row r="6811" ht="18" customHeight="1"/>
    <x:row r="6812" ht="18" customHeight="1"/>
    <x:row r="6813" ht="18" customHeight="1"/>
    <x:row r="6814" ht="18" customHeight="1"/>
    <x:row r="6815" ht="18" customHeight="1"/>
    <x:row r="6816" ht="18" customHeight="1"/>
    <x:row r="6817" ht="18" customHeight="1"/>
    <x:row r="6818" ht="18" customHeight="1"/>
    <x:row r="6819" ht="18" customHeight="1"/>
    <x:row r="6820" ht="18" customHeight="1"/>
    <x:row r="6821" ht="18" customHeight="1"/>
    <x:row r="6822" ht="18" customHeight="1"/>
    <x:row r="6823" ht="18" customHeight="1"/>
    <x:row r="6824" ht="18" customHeight="1"/>
    <x:row r="6825" ht="18" customHeight="1"/>
    <x:row r="6826" ht="18" customHeight="1"/>
    <x:row r="6827" ht="18" customHeight="1"/>
    <x:row r="6828" ht="18" customHeight="1"/>
    <x:row r="6829" ht="18" customHeight="1"/>
    <x:row r="6830" ht="18" customHeight="1"/>
    <x:row r="6831" ht="18" customHeight="1"/>
    <x:row r="6832" ht="18" customHeight="1"/>
    <x:row r="6833" ht="18" customHeight="1"/>
    <x:row r="6834" ht="18" customHeight="1"/>
    <x:row r="6835" ht="18" customHeight="1"/>
    <x:row r="6836" ht="18" customHeight="1"/>
    <x:row r="6837" ht="18" customHeight="1"/>
    <x:row r="6838" ht="18" customHeight="1"/>
    <x:row r="6839" ht="18" customHeight="1"/>
    <x:row r="6840" ht="18" customHeight="1"/>
    <x:row r="6841" ht="18" customHeight="1"/>
    <x:row r="6842" ht="18" customHeight="1"/>
    <x:row r="6843" ht="18" customHeight="1"/>
    <x:row r="6844" ht="18" customHeight="1"/>
    <x:row r="6845" ht="18" customHeight="1"/>
    <x:row r="6846" ht="18" customHeight="1"/>
    <x:row r="6847" ht="18" customHeight="1"/>
    <x:row r="6848" ht="18" customHeight="1"/>
    <x:row r="6849" ht="18" customHeight="1"/>
    <x:row r="6850" ht="18" customHeight="1"/>
    <x:row r="6851" ht="18" customHeight="1"/>
    <x:row r="6852" ht="18" customHeight="1"/>
    <x:row r="6853" ht="18" customHeight="1"/>
    <x:row r="6854" ht="18" customHeight="1"/>
    <x:row r="6855" ht="18" customHeight="1"/>
    <x:row r="6856" ht="18" customHeight="1"/>
    <x:row r="6857" ht="18" customHeight="1"/>
    <x:row r="6858" ht="18" customHeight="1"/>
    <x:row r="6859" ht="18" customHeight="1"/>
    <x:row r="6860" ht="18" customHeight="1"/>
    <x:row r="6861" ht="18" customHeight="1"/>
    <x:row r="6862" ht="18" customHeight="1"/>
    <x:row r="6863" ht="18" customHeight="1"/>
    <x:row r="6864" ht="18" customHeight="1"/>
    <x:row r="6865" ht="18" customHeight="1"/>
    <x:row r="6866" ht="18" customHeight="1"/>
    <x:row r="6867" ht="18" customHeight="1"/>
    <x:row r="6868" ht="18" customHeight="1"/>
    <x:row r="6869" ht="18" customHeight="1"/>
    <x:row r="6870" ht="18" customHeight="1"/>
    <x:row r="6871" ht="18" customHeight="1"/>
    <x:row r="6872" ht="18" customHeight="1"/>
    <x:row r="6873" ht="18" customHeight="1"/>
    <x:row r="6874" ht="18" customHeight="1"/>
    <x:row r="6875" ht="18" customHeight="1"/>
    <x:row r="6876" ht="18" customHeight="1"/>
    <x:row r="6877" ht="18" customHeight="1"/>
    <x:row r="6878" ht="18" customHeight="1"/>
    <x:row r="6879" ht="18" customHeight="1"/>
    <x:row r="6880" ht="18" customHeight="1"/>
    <x:row r="6881" ht="18" customHeight="1"/>
    <x:row r="6882" ht="18" customHeight="1"/>
    <x:row r="6883" ht="18" customHeight="1"/>
    <x:row r="6884" ht="18" customHeight="1"/>
    <x:row r="6885" ht="18" customHeight="1"/>
    <x:row r="6886" ht="18" customHeight="1"/>
    <x:row r="6887" ht="18" customHeight="1"/>
    <x:row r="6888" ht="18" customHeight="1"/>
    <x:row r="6889" ht="18" customHeight="1"/>
    <x:row r="6890" ht="18" customHeight="1"/>
    <x:row r="6891" ht="18" customHeight="1"/>
    <x:row r="6892" ht="18" customHeight="1"/>
    <x:row r="6893" ht="18" customHeight="1"/>
    <x:row r="6894" ht="18" customHeight="1"/>
    <x:row r="6895" ht="18" customHeight="1"/>
    <x:row r="6896" ht="18" customHeight="1"/>
    <x:row r="6897" ht="18" customHeight="1"/>
    <x:row r="6898" ht="18" customHeight="1"/>
    <x:row r="6899" ht="18" customHeight="1"/>
    <x:row r="6900" ht="18" customHeight="1"/>
    <x:row r="6901" ht="18" customHeight="1"/>
    <x:row r="6902" ht="18" customHeight="1"/>
    <x:row r="6903" ht="18" customHeight="1"/>
    <x:row r="6904" ht="18" customHeight="1"/>
    <x:row r="6905" ht="18" customHeight="1"/>
    <x:row r="6906" ht="18" customHeight="1"/>
    <x:row r="6907" ht="18" customHeight="1"/>
    <x:row r="6908" ht="18" customHeight="1"/>
    <x:row r="6909" ht="18" customHeight="1"/>
    <x:row r="6910" ht="18" customHeight="1"/>
    <x:row r="6911" ht="18" customHeight="1"/>
    <x:row r="6912" ht="18" customHeight="1"/>
    <x:row r="6913" ht="18" customHeight="1"/>
    <x:row r="6914" ht="18" customHeight="1"/>
    <x:row r="6915" ht="18" customHeight="1"/>
    <x:row r="6916" ht="18" customHeight="1"/>
    <x:row r="6917" ht="18" customHeight="1"/>
    <x:row r="6918" ht="18" customHeight="1"/>
    <x:row r="6919" ht="18" customHeight="1"/>
    <x:row r="6920" ht="18" customHeight="1"/>
    <x:row r="6921" ht="18" customHeight="1"/>
    <x:row r="6922" ht="18" customHeight="1"/>
    <x:row r="6923" ht="18" customHeight="1"/>
    <x:row r="6924" ht="18" customHeight="1"/>
    <x:row r="6925" ht="18" customHeight="1"/>
    <x:row r="6926" ht="18" customHeight="1"/>
    <x:row r="6927" ht="18" customHeight="1"/>
    <x:row r="6928" ht="18" customHeight="1"/>
    <x:row r="6929" ht="18" customHeight="1"/>
    <x:row r="6930" ht="18" customHeight="1"/>
    <x:row r="6931" ht="18" customHeight="1"/>
    <x:row r="6932" ht="18" customHeight="1"/>
    <x:row r="6933" ht="18" customHeight="1"/>
    <x:row r="6934" ht="18" customHeight="1"/>
    <x:row r="6935" ht="18" customHeight="1"/>
    <x:row r="6936" ht="18" customHeight="1"/>
    <x:row r="6937" ht="18" customHeight="1"/>
    <x:row r="6938" ht="18" customHeight="1"/>
    <x:row r="6939" ht="18" customHeight="1"/>
    <x:row r="6940" ht="18" customHeight="1"/>
    <x:row r="6941" ht="18" customHeight="1"/>
    <x:row r="6942" ht="18" customHeight="1"/>
    <x:row r="6943" ht="18" customHeight="1"/>
    <x:row r="6944" ht="18" customHeight="1"/>
    <x:row r="6945" ht="18" customHeight="1"/>
    <x:row r="6946" ht="18" customHeight="1"/>
    <x:row r="6947" ht="18" customHeight="1"/>
    <x:row r="6948" ht="18" customHeight="1"/>
    <x:row r="6949" ht="18" customHeight="1"/>
    <x:row r="6950" ht="18" customHeight="1"/>
    <x:row r="6951" ht="18" customHeight="1"/>
    <x:row r="6952" ht="18" customHeight="1"/>
    <x:row r="6953" ht="18" customHeight="1"/>
    <x:row r="6954" ht="18" customHeight="1"/>
    <x:row r="6955" ht="18" customHeight="1"/>
    <x:row r="6956" ht="18" customHeight="1"/>
    <x:row r="6957" ht="18" customHeight="1"/>
    <x:row r="6958" ht="18" customHeight="1"/>
    <x:row r="6959" ht="18" customHeight="1"/>
    <x:row r="6960" ht="18" customHeight="1"/>
    <x:row r="6961" ht="18" customHeight="1"/>
    <x:row r="6962" ht="18" customHeight="1"/>
    <x:row r="6963" ht="18" customHeight="1"/>
    <x:row r="6964" ht="18" customHeight="1"/>
    <x:row r="6965" ht="18" customHeight="1"/>
    <x:row r="6966" ht="18" customHeight="1"/>
    <x:row r="6967" ht="18" customHeight="1"/>
    <x:row r="6968" ht="18" customHeight="1"/>
    <x:row r="6969" ht="18" customHeight="1"/>
    <x:row r="6970" ht="18" customHeight="1"/>
    <x:row r="6971" ht="18" customHeight="1"/>
    <x:row r="6972" ht="18" customHeight="1"/>
    <x:row r="6973" ht="18" customHeight="1"/>
    <x:row r="6974" ht="18" customHeight="1"/>
    <x:row r="6975" ht="18" customHeight="1"/>
    <x:row r="6976" ht="18" customHeight="1"/>
    <x:row r="6977" ht="18" customHeight="1"/>
    <x:row r="6978" ht="18" customHeight="1"/>
    <x:row r="6979" ht="18" customHeight="1"/>
    <x:row r="6980" ht="18" customHeight="1"/>
    <x:row r="6981" ht="18" customHeight="1"/>
    <x:row r="6982" ht="18" customHeight="1"/>
    <x:row r="6983" ht="18" customHeight="1"/>
    <x:row r="6984" ht="18" customHeight="1"/>
    <x:row r="6985" ht="18" customHeight="1"/>
    <x:row r="6986" ht="18" customHeight="1"/>
    <x:row r="6987" ht="18" customHeight="1"/>
    <x:row r="6988" ht="18" customHeight="1"/>
    <x:row r="6989" ht="18" customHeight="1"/>
    <x:row r="6990" ht="18" customHeight="1"/>
    <x:row r="6991" ht="18" customHeight="1"/>
    <x:row r="6992" ht="18" customHeight="1"/>
    <x:row r="6993" ht="18" customHeight="1"/>
    <x:row r="6994" ht="18" customHeight="1"/>
    <x:row r="6995" ht="18" customHeight="1"/>
    <x:row r="6996" ht="18" customHeight="1"/>
    <x:row r="6997" ht="18" customHeight="1"/>
    <x:row r="6998" ht="18" customHeight="1"/>
    <x:row r="6999" ht="18" customHeight="1"/>
    <x:row r="7000" ht="18" customHeight="1"/>
    <x:row r="7001" ht="18" customHeight="1"/>
    <x:row r="7002" ht="18" customHeight="1"/>
    <x:row r="7003" ht="18" customHeight="1"/>
    <x:row r="7004" ht="18" customHeight="1"/>
    <x:row r="7005" ht="18" customHeight="1"/>
    <x:row r="7006" ht="18" customHeight="1"/>
    <x:row r="7007" ht="18" customHeight="1"/>
    <x:row r="7008" ht="18" customHeight="1"/>
    <x:row r="7009" ht="18" customHeight="1"/>
    <x:row r="7010" ht="18" customHeight="1"/>
    <x:row r="7011" ht="18" customHeight="1"/>
    <x:row r="7012" ht="18" customHeight="1"/>
    <x:row r="7013" ht="18" customHeight="1"/>
    <x:row r="7014" ht="18" customHeight="1"/>
    <x:row r="7015" ht="18" customHeight="1"/>
    <x:row r="7016" ht="18" customHeight="1"/>
    <x:row r="7017" ht="18" customHeight="1"/>
    <x:row r="7018" ht="18" customHeight="1"/>
    <x:row r="7019" ht="18" customHeight="1"/>
    <x:row r="7020" ht="18" customHeight="1"/>
    <x:row r="7021" ht="18" customHeight="1"/>
    <x:row r="7022" ht="18" customHeight="1"/>
    <x:row r="7023" ht="18" customHeight="1"/>
    <x:row r="7024" ht="18" customHeight="1"/>
    <x:row r="7025" ht="18" customHeight="1"/>
    <x:row r="7026" ht="18" customHeight="1"/>
    <x:row r="7027" ht="18" customHeight="1"/>
    <x:row r="7028" ht="18" customHeight="1"/>
    <x:row r="7029" ht="18" customHeight="1"/>
    <x:row r="7030" ht="18" customHeight="1"/>
    <x:row r="7031" ht="18" customHeight="1"/>
    <x:row r="7032" ht="18" customHeight="1"/>
    <x:row r="7033" ht="18" customHeight="1"/>
    <x:row r="7034" ht="18" customHeight="1"/>
    <x:row r="7035" ht="18" customHeight="1"/>
    <x:row r="7036" ht="18" customHeight="1"/>
    <x:row r="7037" ht="18" customHeight="1"/>
    <x:row r="7038" ht="18" customHeight="1"/>
    <x:row r="7039" ht="18" customHeight="1"/>
    <x:row r="7040" ht="18" customHeight="1"/>
    <x:row r="7041" ht="18" customHeight="1"/>
    <x:row r="7042" ht="18" customHeight="1"/>
    <x:row r="7043" ht="18" customHeight="1"/>
    <x:row r="7044" ht="18" customHeight="1"/>
    <x:row r="7045" ht="18" customHeight="1"/>
    <x:row r="7046" ht="18" customHeight="1"/>
    <x:row r="7047" ht="18" customHeight="1"/>
    <x:row r="7048" ht="18" customHeight="1"/>
    <x:row r="7049" ht="18" customHeight="1"/>
    <x:row r="7050" ht="18" customHeight="1"/>
    <x:row r="7051" ht="18" customHeight="1"/>
    <x:row r="7052" ht="18" customHeight="1"/>
    <x:row r="7053" ht="18" customHeight="1"/>
    <x:row r="7054" ht="18" customHeight="1"/>
    <x:row r="7055" ht="18" customHeight="1"/>
    <x:row r="7056" ht="18" customHeight="1"/>
    <x:row r="7057" ht="18" customHeight="1"/>
    <x:row r="7058" ht="18" customHeight="1"/>
    <x:row r="7059" ht="18" customHeight="1"/>
    <x:row r="7060" ht="18" customHeight="1"/>
    <x:row r="7061" ht="18" customHeight="1"/>
    <x:row r="7062" ht="18" customHeight="1"/>
    <x:row r="7063" ht="18" customHeight="1"/>
    <x:row r="7064" ht="18" customHeight="1"/>
    <x:row r="7065" ht="18" customHeight="1"/>
    <x:row r="7066" ht="18" customHeight="1"/>
    <x:row r="7067" ht="18" customHeight="1"/>
    <x:row r="7068" ht="18" customHeight="1"/>
    <x:row r="7069" ht="18" customHeight="1"/>
    <x:row r="7070" ht="18" customHeight="1"/>
    <x:row r="7071" ht="18" customHeight="1"/>
    <x:row r="7072" ht="18" customHeight="1"/>
    <x:row r="7073" ht="18" customHeight="1"/>
    <x:row r="7074" ht="18" customHeight="1"/>
    <x:row r="7075" ht="18" customHeight="1"/>
    <x:row r="7076" ht="18" customHeight="1"/>
    <x:row r="7077" ht="18" customHeight="1"/>
    <x:row r="7078" ht="18" customHeight="1"/>
    <x:row r="7079" ht="18" customHeight="1"/>
    <x:row r="7080" ht="18" customHeight="1"/>
    <x:row r="7081" ht="18" customHeight="1"/>
    <x:row r="7082" ht="18" customHeight="1"/>
    <x:row r="7083" ht="18" customHeight="1"/>
    <x:row r="7084" ht="18" customHeight="1"/>
    <x:row r="7085" ht="18" customHeight="1"/>
    <x:row r="7086" ht="18" customHeight="1"/>
    <x:row r="7087" ht="18" customHeight="1"/>
    <x:row r="7088" ht="18" customHeight="1"/>
    <x:row r="7089" ht="18" customHeight="1"/>
    <x:row r="7090" ht="18" customHeight="1"/>
    <x:row r="7091" ht="18" customHeight="1"/>
    <x:row r="7092" ht="18" customHeight="1"/>
    <x:row r="7093" ht="18" customHeight="1"/>
    <x:row r="7094" ht="18" customHeight="1"/>
    <x:row r="7095" ht="18" customHeight="1"/>
    <x:row r="7096" ht="18" customHeight="1"/>
    <x:row r="7097" ht="18" customHeight="1"/>
    <x:row r="7098" ht="18" customHeight="1"/>
    <x:row r="7099" ht="18" customHeight="1"/>
    <x:row r="7100" ht="18" customHeight="1"/>
    <x:row r="7101" ht="18" customHeight="1"/>
    <x:row r="7102" ht="18" customHeight="1"/>
    <x:row r="7103" ht="18" customHeight="1"/>
    <x:row r="7104" ht="18" customHeight="1"/>
    <x:row r="7105" ht="18" customHeight="1"/>
    <x:row r="7106" ht="18" customHeight="1"/>
    <x:row r="7107" ht="18" customHeight="1"/>
    <x:row r="7108" ht="18" customHeight="1"/>
    <x:row r="7109" ht="18" customHeight="1"/>
    <x:row r="7110" ht="18" customHeight="1"/>
    <x:row r="7111" ht="18" customHeight="1"/>
    <x:row r="7112" ht="18" customHeight="1"/>
    <x:row r="7113" ht="18" customHeight="1"/>
    <x:row r="7114" ht="18" customHeight="1"/>
    <x:row r="7115" ht="18" customHeight="1"/>
    <x:row r="7116" ht="18" customHeight="1"/>
    <x:row r="7117" ht="18" customHeight="1"/>
    <x:row r="7118" ht="18" customHeight="1"/>
    <x:row r="7119" ht="18" customHeight="1"/>
    <x:row r="7120" ht="18" customHeight="1"/>
    <x:row r="7121" ht="18" customHeight="1"/>
    <x:row r="7122" ht="18" customHeight="1"/>
    <x:row r="7123" ht="18" customHeight="1"/>
    <x:row r="7124" ht="18" customHeight="1"/>
    <x:row r="7125" ht="18" customHeight="1"/>
    <x:row r="7126" ht="18" customHeight="1"/>
    <x:row r="7127" ht="18" customHeight="1"/>
    <x:row r="7128" ht="18" customHeight="1"/>
    <x:row r="7129" ht="18" customHeight="1"/>
    <x:row r="7130" ht="18" customHeight="1"/>
    <x:row r="7131" ht="18" customHeight="1"/>
    <x:row r="7132" ht="18" customHeight="1"/>
    <x:row r="7133" ht="18" customHeight="1"/>
    <x:row r="7134" ht="18" customHeight="1"/>
    <x:row r="7135" ht="18" customHeight="1"/>
    <x:row r="7136" ht="18" customHeight="1"/>
    <x:row r="7137" ht="18" customHeight="1"/>
    <x:row r="7138" ht="18" customHeight="1"/>
    <x:row r="7139" ht="18" customHeight="1"/>
    <x:row r="7140" ht="18" customHeight="1"/>
    <x:row r="7141" ht="18" customHeight="1"/>
    <x:row r="7142" ht="18" customHeight="1"/>
    <x:row r="7143" ht="18" customHeight="1"/>
    <x:row r="7144" ht="18" customHeight="1"/>
    <x:row r="7145" ht="18" customHeight="1"/>
    <x:row r="7146" ht="18" customHeight="1"/>
    <x:row r="7147" ht="18" customHeight="1"/>
    <x:row r="7148" ht="18" customHeight="1"/>
    <x:row r="7149" ht="18" customHeight="1"/>
    <x:row r="7150" ht="18" customHeight="1"/>
    <x:row r="7151" ht="18" customHeight="1"/>
    <x:row r="7152" ht="18" customHeight="1"/>
    <x:row r="7153" ht="18" customHeight="1"/>
    <x:row r="7154" ht="18" customHeight="1"/>
    <x:row r="7155" ht="18" customHeight="1"/>
    <x:row r="7156" ht="18" customHeight="1"/>
    <x:row r="7157" ht="18" customHeight="1"/>
    <x:row r="7158" ht="18" customHeight="1"/>
    <x:row r="7159" ht="18" customHeight="1"/>
    <x:row r="7160" ht="18" customHeight="1"/>
    <x:row r="7161" ht="18" customHeight="1"/>
    <x:row r="7162" ht="18" customHeight="1"/>
    <x:row r="7163" ht="18" customHeight="1"/>
    <x:row r="7164" ht="18" customHeight="1"/>
    <x:row r="7165" ht="18" customHeight="1"/>
    <x:row r="7166" ht="18" customHeight="1"/>
    <x:row r="7167" ht="18" customHeight="1"/>
    <x:row r="7168" ht="18" customHeight="1"/>
    <x:row r="7169" ht="18" customHeight="1"/>
    <x:row r="7170" ht="18" customHeight="1"/>
    <x:row r="7171" ht="18" customHeight="1"/>
    <x:row r="7172" ht="18" customHeight="1"/>
    <x:row r="7173" ht="18" customHeight="1"/>
    <x:row r="7174" ht="18" customHeight="1"/>
    <x:row r="7175" ht="18" customHeight="1"/>
    <x:row r="7176" ht="18" customHeight="1"/>
    <x:row r="7177" ht="18" customHeight="1"/>
    <x:row r="7178" ht="18" customHeight="1"/>
    <x:row r="7179" ht="18" customHeight="1"/>
    <x:row r="7180" ht="18" customHeight="1"/>
    <x:row r="7181" ht="18" customHeight="1"/>
    <x:row r="7182" ht="18" customHeight="1"/>
    <x:row r="7183" ht="18" customHeight="1"/>
    <x:row r="7184" ht="18" customHeight="1"/>
    <x:row r="7185" ht="18" customHeight="1"/>
    <x:row r="7186" ht="18" customHeight="1"/>
    <x:row r="7187" ht="18" customHeight="1"/>
    <x:row r="7188" ht="18" customHeight="1"/>
    <x:row r="7189" ht="18" customHeight="1"/>
    <x:row r="7190" ht="18" customHeight="1"/>
    <x:row r="7191" ht="18" customHeight="1"/>
    <x:row r="7192" ht="18" customHeight="1"/>
    <x:row r="7193" ht="18" customHeight="1"/>
    <x:row r="7194" ht="18" customHeight="1"/>
    <x:row r="7195" ht="18" customHeight="1"/>
    <x:row r="7196" ht="18" customHeight="1"/>
    <x:row r="7197" ht="18" customHeight="1"/>
    <x:row r="7198" ht="18" customHeight="1"/>
    <x:row r="7199" ht="18" customHeight="1"/>
    <x:row r="7200" ht="18" customHeight="1"/>
    <x:row r="7201" ht="18" customHeight="1"/>
    <x:row r="7202" ht="18" customHeight="1"/>
    <x:row r="7203" ht="18" customHeight="1"/>
    <x:row r="7204" ht="18" customHeight="1"/>
    <x:row r="7205" ht="18" customHeight="1"/>
    <x:row r="7206" ht="18" customHeight="1"/>
    <x:row r="7207" ht="18" customHeight="1"/>
    <x:row r="7208" ht="18" customHeight="1"/>
    <x:row r="7209" ht="18" customHeight="1"/>
    <x:row r="7210" ht="18" customHeight="1"/>
    <x:row r="7211" ht="18" customHeight="1"/>
    <x:row r="7212" ht="18" customHeight="1"/>
    <x:row r="7213" ht="18" customHeight="1"/>
    <x:row r="7214" ht="18" customHeight="1"/>
    <x:row r="7215" ht="18" customHeight="1"/>
    <x:row r="7216" ht="18" customHeight="1"/>
    <x:row r="7217" ht="18" customHeight="1"/>
    <x:row r="7218" ht="18" customHeight="1"/>
    <x:row r="7219" ht="18" customHeight="1"/>
    <x:row r="7220" ht="18" customHeight="1"/>
    <x:row r="7221" ht="18" customHeight="1"/>
    <x:row r="7222" ht="18" customHeight="1"/>
    <x:row r="7223" ht="18" customHeight="1"/>
    <x:row r="7224" ht="18" customHeight="1"/>
    <x:row r="7225" ht="18" customHeight="1"/>
    <x:row r="7226" ht="18" customHeight="1"/>
    <x:row r="7227" ht="18" customHeight="1"/>
    <x:row r="7228" ht="18" customHeight="1"/>
    <x:row r="7229" ht="18" customHeight="1"/>
    <x:row r="7230" ht="18" customHeight="1"/>
    <x:row r="7231" ht="18" customHeight="1"/>
    <x:row r="7232" ht="18" customHeight="1"/>
    <x:row r="7233" ht="18" customHeight="1"/>
    <x:row r="7234" ht="18" customHeight="1"/>
    <x:row r="7235" ht="18" customHeight="1"/>
    <x:row r="7236" ht="18" customHeight="1"/>
    <x:row r="7237" ht="18" customHeight="1"/>
    <x:row r="7238" ht="18" customHeight="1"/>
    <x:row r="7239" ht="18" customHeight="1"/>
    <x:row r="7240" ht="18" customHeight="1"/>
    <x:row r="7241" ht="18" customHeight="1"/>
    <x:row r="7242" ht="18" customHeight="1"/>
    <x:row r="7243" ht="18" customHeight="1"/>
    <x:row r="7244" ht="18" customHeight="1"/>
    <x:row r="7245" ht="18" customHeight="1"/>
    <x:row r="7246" ht="18" customHeight="1"/>
    <x:row r="7247" ht="18" customHeight="1"/>
    <x:row r="7248" ht="18" customHeight="1"/>
    <x:row r="7249" ht="18" customHeight="1"/>
    <x:row r="7250" ht="18" customHeight="1"/>
    <x:row r="7251" ht="18" customHeight="1"/>
    <x:row r="7252" ht="18" customHeight="1"/>
    <x:row r="7253" ht="18" customHeight="1"/>
    <x:row r="7254" ht="18" customHeight="1"/>
    <x:row r="7255" ht="18" customHeight="1"/>
    <x:row r="7256" ht="18" customHeight="1"/>
    <x:row r="7257" ht="18" customHeight="1"/>
    <x:row r="7258" ht="18" customHeight="1"/>
    <x:row r="7259" ht="18" customHeight="1"/>
    <x:row r="7260" ht="18" customHeight="1"/>
    <x:row r="7261" ht="18" customHeight="1"/>
    <x:row r="7262" ht="18" customHeight="1"/>
    <x:row r="7263" ht="18" customHeight="1"/>
    <x:row r="7264" ht="18" customHeight="1"/>
    <x:row r="7265" ht="18" customHeight="1"/>
    <x:row r="7266" ht="18" customHeight="1"/>
    <x:row r="7267" ht="18" customHeight="1"/>
    <x:row r="7268" ht="18" customHeight="1"/>
    <x:row r="7269" ht="18" customHeight="1"/>
    <x:row r="7270" ht="18" customHeight="1"/>
    <x:row r="7271" ht="18" customHeight="1"/>
    <x:row r="7272" ht="18" customHeight="1"/>
    <x:row r="7273" ht="18" customHeight="1"/>
    <x:row r="7274" ht="18" customHeight="1"/>
    <x:row r="7275" ht="18" customHeight="1"/>
    <x:row r="7276" ht="18" customHeight="1"/>
    <x:row r="7277" ht="18" customHeight="1"/>
    <x:row r="7278" ht="18" customHeight="1"/>
    <x:row r="7279" ht="18" customHeight="1"/>
    <x:row r="7280" ht="18" customHeight="1"/>
    <x:row r="7281" ht="18" customHeight="1"/>
    <x:row r="7282" ht="18" customHeight="1"/>
    <x:row r="7283" ht="18" customHeight="1"/>
    <x:row r="7284" ht="18" customHeight="1"/>
    <x:row r="7285" ht="18" customHeight="1"/>
    <x:row r="7286" ht="18" customHeight="1"/>
    <x:row r="7287" ht="18" customHeight="1"/>
    <x:row r="7288" ht="18" customHeight="1"/>
    <x:row r="7289" ht="18" customHeight="1"/>
    <x:row r="7290" ht="18" customHeight="1"/>
    <x:row r="7291" ht="18" customHeight="1"/>
    <x:row r="7292" ht="18" customHeight="1"/>
    <x:row r="7293" ht="18" customHeight="1"/>
    <x:row r="7294" ht="18" customHeight="1"/>
    <x:row r="7295" ht="18" customHeight="1"/>
    <x:row r="7296" ht="18" customHeight="1"/>
    <x:row r="7297" ht="18" customHeight="1"/>
    <x:row r="7298" ht="18" customHeight="1"/>
    <x:row r="7299" ht="18" customHeight="1"/>
    <x:row r="7300" ht="18" customHeight="1"/>
    <x:row r="7301" ht="18" customHeight="1"/>
    <x:row r="7302" ht="18" customHeight="1"/>
    <x:row r="7303" ht="18" customHeight="1"/>
    <x:row r="7304" ht="18" customHeight="1"/>
    <x:row r="7305" ht="18" customHeight="1"/>
    <x:row r="7306" ht="18" customHeight="1"/>
    <x:row r="7307" ht="18" customHeight="1"/>
    <x:row r="7308" ht="18" customHeight="1"/>
    <x:row r="7309" ht="18" customHeight="1"/>
    <x:row r="7310" ht="18" customHeight="1"/>
    <x:row r="7311" ht="18" customHeight="1"/>
    <x:row r="7312" ht="18" customHeight="1"/>
    <x:row r="7313" ht="18" customHeight="1"/>
    <x:row r="7314" ht="18" customHeight="1"/>
    <x:row r="7315" ht="18" customHeight="1"/>
    <x:row r="7316" ht="18" customHeight="1"/>
    <x:row r="7317" ht="18" customHeight="1"/>
    <x:row r="7318" ht="18" customHeight="1"/>
    <x:row r="7319" ht="18" customHeight="1"/>
    <x:row r="7320" ht="18" customHeight="1"/>
    <x:row r="7321" ht="18" customHeight="1"/>
    <x:row r="7322" ht="18" customHeight="1"/>
    <x:row r="7323" ht="18" customHeight="1"/>
    <x:row r="7324" ht="18" customHeight="1"/>
    <x:row r="7325" ht="18" customHeight="1"/>
    <x:row r="7326" ht="18" customHeight="1"/>
    <x:row r="7327" ht="18" customHeight="1"/>
    <x:row r="7328" ht="18" customHeight="1"/>
    <x:row r="7329" ht="18" customHeight="1"/>
    <x:row r="7330" ht="18" customHeight="1"/>
    <x:row r="7331" ht="18" customHeight="1"/>
    <x:row r="7332" ht="18" customHeight="1"/>
    <x:row r="7333" ht="18" customHeight="1"/>
    <x:row r="7334" ht="18" customHeight="1"/>
    <x:row r="7335" ht="18" customHeight="1"/>
    <x:row r="7336" ht="18" customHeight="1"/>
    <x:row r="7337" ht="18" customHeight="1"/>
    <x:row r="7338" ht="18" customHeight="1"/>
    <x:row r="7339" ht="18" customHeight="1"/>
    <x:row r="7340" ht="18" customHeight="1"/>
    <x:row r="7341" ht="18" customHeight="1"/>
    <x:row r="7342" ht="18" customHeight="1"/>
    <x:row r="7343" ht="18" customHeight="1"/>
    <x:row r="7344" ht="18" customHeight="1"/>
    <x:row r="7345" ht="18" customHeight="1"/>
    <x:row r="7346" ht="18" customHeight="1"/>
    <x:row r="7347" ht="18" customHeight="1"/>
    <x:row r="7348" ht="18" customHeight="1"/>
    <x:row r="7349" ht="18" customHeight="1"/>
    <x:row r="7350" ht="18" customHeight="1"/>
    <x:row r="7351" ht="18" customHeight="1"/>
    <x:row r="7352" ht="18" customHeight="1"/>
    <x:row r="7353" ht="18" customHeight="1"/>
    <x:row r="7354" ht="18" customHeight="1"/>
    <x:row r="7355" ht="18" customHeight="1"/>
    <x:row r="7356" ht="18" customHeight="1"/>
    <x:row r="7357" ht="18" customHeight="1"/>
    <x:row r="7358" ht="18" customHeight="1"/>
    <x:row r="7359" ht="18" customHeight="1"/>
    <x:row r="7360" ht="18" customHeight="1"/>
    <x:row r="7361" ht="18" customHeight="1"/>
    <x:row r="7362" ht="18" customHeight="1"/>
    <x:row r="7363" ht="18" customHeight="1"/>
    <x:row r="7364" ht="18" customHeight="1"/>
    <x:row r="7365" ht="18" customHeight="1"/>
    <x:row r="7366" ht="18" customHeight="1"/>
    <x:row r="7367" ht="18" customHeight="1"/>
    <x:row r="7368" ht="18" customHeight="1"/>
    <x:row r="7369" ht="18" customHeight="1"/>
    <x:row r="7370" ht="18" customHeight="1"/>
    <x:row r="7371" ht="18" customHeight="1"/>
    <x:row r="7372" ht="18" customHeight="1"/>
    <x:row r="7373" ht="18" customHeight="1"/>
    <x:row r="7374" ht="18" customHeight="1"/>
    <x:row r="7375" ht="18" customHeight="1"/>
    <x:row r="7376" ht="18" customHeight="1"/>
    <x:row r="7377" ht="18" customHeight="1"/>
    <x:row r="7378" ht="18" customHeight="1"/>
    <x:row r="7379" ht="18" customHeight="1"/>
    <x:row r="7380" ht="18" customHeight="1"/>
    <x:row r="7381" ht="18" customHeight="1"/>
    <x:row r="7382" ht="18" customHeight="1"/>
    <x:row r="7383" ht="18" customHeight="1"/>
    <x:row r="7384" ht="18" customHeight="1"/>
    <x:row r="7385" ht="18" customHeight="1"/>
    <x:row r="7386" ht="18" customHeight="1"/>
    <x:row r="7387" ht="18" customHeight="1"/>
    <x:row r="7388" ht="18" customHeight="1"/>
    <x:row r="7389" ht="18" customHeight="1"/>
    <x:row r="7390" ht="18" customHeight="1"/>
    <x:row r="7391" ht="18" customHeight="1"/>
    <x:row r="7392" ht="18" customHeight="1"/>
    <x:row r="7393" ht="18" customHeight="1"/>
    <x:row r="7394" ht="18" customHeight="1"/>
    <x:row r="7395" ht="18" customHeight="1"/>
    <x:row r="7396" ht="18" customHeight="1"/>
    <x:row r="7397" ht="18" customHeight="1"/>
    <x:row r="7398" ht="18" customHeight="1"/>
    <x:row r="7399" ht="18" customHeight="1"/>
    <x:row r="7400" ht="18" customHeight="1"/>
    <x:row r="7401" ht="18" customHeight="1"/>
    <x:row r="7402" ht="18" customHeight="1"/>
    <x:row r="7403" ht="18" customHeight="1"/>
    <x:row r="7404" ht="18" customHeight="1"/>
    <x:row r="7405" ht="18" customHeight="1"/>
    <x:row r="7406" ht="18" customHeight="1"/>
    <x:row r="7407" ht="18" customHeight="1"/>
    <x:row r="7408" ht="18" customHeight="1"/>
    <x:row r="7409" ht="18" customHeight="1"/>
    <x:row r="7410" ht="18" customHeight="1"/>
    <x:row r="7411" ht="18" customHeight="1"/>
    <x:row r="7412" ht="18" customHeight="1"/>
    <x:row r="7413" ht="18" customHeight="1"/>
    <x:row r="7414" ht="18" customHeight="1"/>
    <x:row r="7415" ht="18" customHeight="1"/>
    <x:row r="7416" ht="18" customHeight="1"/>
    <x:row r="7417" ht="18" customHeight="1"/>
    <x:row r="7418" ht="18" customHeight="1"/>
    <x:row r="7419" ht="18" customHeight="1"/>
    <x:row r="7420" ht="18" customHeight="1"/>
    <x:row r="7421" ht="18" customHeight="1"/>
    <x:row r="7422" ht="18" customHeight="1"/>
    <x:row r="7423" ht="18" customHeight="1"/>
    <x:row r="7424" ht="18" customHeight="1"/>
    <x:row r="7425" ht="18" customHeight="1"/>
    <x:row r="7426" ht="18" customHeight="1"/>
    <x:row r="7427" ht="18" customHeight="1"/>
    <x:row r="7428" ht="18" customHeight="1"/>
    <x:row r="7429" ht="18" customHeight="1"/>
    <x:row r="7430" ht="18" customHeight="1"/>
    <x:row r="7431" ht="18" customHeight="1"/>
    <x:row r="7432" ht="18" customHeight="1"/>
    <x:row r="7433" ht="18" customHeight="1"/>
    <x:row r="7434" ht="18" customHeight="1"/>
    <x:row r="7435" ht="18" customHeight="1"/>
    <x:row r="7436" ht="18" customHeight="1"/>
    <x:row r="7437" ht="18" customHeight="1"/>
    <x:row r="7438" ht="18" customHeight="1"/>
    <x:row r="7439" ht="18" customHeight="1"/>
    <x:row r="7440" ht="18" customHeight="1"/>
    <x:row r="7441" ht="18" customHeight="1"/>
    <x:row r="7442" ht="18" customHeight="1"/>
    <x:row r="7443" ht="18" customHeight="1"/>
    <x:row r="7444" ht="18" customHeight="1"/>
    <x:row r="7445" ht="18" customHeight="1"/>
    <x:row r="7446" ht="18" customHeight="1"/>
    <x:row r="7447" ht="18" customHeight="1"/>
    <x:row r="7448" ht="18" customHeight="1"/>
    <x:row r="7449" ht="18" customHeight="1"/>
    <x:row r="7450" ht="18" customHeight="1"/>
    <x:row r="7451" ht="18" customHeight="1"/>
    <x:row r="7452" ht="18" customHeight="1"/>
    <x:row r="7453" ht="18" customHeight="1"/>
    <x:row r="7454" ht="18" customHeight="1"/>
    <x:row r="7455" ht="18" customHeight="1"/>
    <x:row r="7456" ht="18" customHeight="1"/>
    <x:row r="7457" ht="18" customHeight="1"/>
    <x:row r="7458" ht="18" customHeight="1"/>
    <x:row r="7459" ht="18" customHeight="1"/>
    <x:row r="7460" ht="18" customHeight="1"/>
    <x:row r="7461" ht="18" customHeight="1"/>
    <x:row r="7462" ht="18" customHeight="1"/>
    <x:row r="7463" ht="18" customHeight="1"/>
    <x:row r="7464" ht="18" customHeight="1"/>
    <x:row r="7465" ht="18" customHeight="1"/>
    <x:row r="7466" ht="18" customHeight="1"/>
    <x:row r="7467" ht="18" customHeight="1"/>
    <x:row r="7468" ht="18" customHeight="1"/>
    <x:row r="7469" ht="18" customHeight="1"/>
    <x:row r="7470" ht="18" customHeight="1"/>
    <x:row r="7471" ht="18" customHeight="1"/>
    <x:row r="7472" ht="18" customHeight="1"/>
    <x:row r="7473" ht="18" customHeight="1"/>
    <x:row r="7474" ht="18" customHeight="1"/>
    <x:row r="7475" ht="18" customHeight="1"/>
    <x:row r="7476" ht="18" customHeight="1"/>
    <x:row r="7477" ht="18" customHeight="1"/>
    <x:row r="7478" ht="18" customHeight="1"/>
    <x:row r="7479" ht="18" customHeight="1"/>
    <x:row r="7480" ht="18" customHeight="1"/>
    <x:row r="7481" ht="18" customHeight="1"/>
    <x:row r="7482" ht="18" customHeight="1"/>
    <x:row r="7483" ht="18" customHeight="1"/>
    <x:row r="7484" ht="18" customHeight="1"/>
    <x:row r="7485" ht="18" customHeight="1"/>
    <x:row r="7486" ht="18" customHeight="1"/>
    <x:row r="7487" ht="18" customHeight="1"/>
    <x:row r="7488" ht="18" customHeight="1"/>
    <x:row r="7489" ht="18" customHeight="1"/>
    <x:row r="7490" ht="18" customHeight="1"/>
    <x:row r="7491" ht="18" customHeight="1"/>
    <x:row r="7492" ht="18" customHeight="1"/>
    <x:row r="7493" ht="18" customHeight="1"/>
    <x:row r="7494" ht="18" customHeight="1"/>
    <x:row r="7495" ht="18" customHeight="1"/>
    <x:row r="7496" ht="18" customHeight="1"/>
    <x:row r="7497" ht="18" customHeight="1"/>
    <x:row r="7498" ht="18" customHeight="1"/>
    <x:row r="7499" ht="18" customHeight="1"/>
    <x:row r="7500" ht="18" customHeight="1"/>
    <x:row r="7501" ht="18" customHeight="1"/>
    <x:row r="7502" ht="18" customHeight="1"/>
    <x:row r="7503" ht="18" customHeight="1"/>
    <x:row r="7504" ht="18" customHeight="1"/>
    <x:row r="7505" ht="18" customHeight="1"/>
    <x:row r="7506" ht="18" customHeight="1"/>
    <x:row r="7507" ht="18" customHeight="1"/>
    <x:row r="7508" ht="18" customHeight="1"/>
    <x:row r="7509" ht="18" customHeight="1"/>
    <x:row r="7510" ht="18" customHeight="1"/>
    <x:row r="7511" ht="18" customHeight="1"/>
    <x:row r="7512" ht="18" customHeight="1"/>
    <x:row r="7513" ht="18" customHeight="1"/>
    <x:row r="7514" ht="18" customHeight="1"/>
    <x:row r="7515" ht="18" customHeight="1"/>
    <x:row r="7516" ht="18" customHeight="1"/>
    <x:row r="7517" ht="18" customHeight="1"/>
    <x:row r="7518" ht="18" customHeight="1"/>
    <x:row r="7519" ht="18" customHeight="1"/>
    <x:row r="7520" ht="18" customHeight="1"/>
    <x:row r="7521" ht="18" customHeight="1"/>
    <x:row r="7522" ht="18" customHeight="1"/>
    <x:row r="7523" ht="18" customHeight="1"/>
    <x:row r="7524" ht="18" customHeight="1"/>
    <x:row r="7525" ht="18" customHeight="1"/>
    <x:row r="7526" ht="18" customHeight="1"/>
    <x:row r="7527" ht="18" customHeight="1"/>
    <x:row r="7528" ht="18" customHeight="1"/>
    <x:row r="7529" ht="18" customHeight="1"/>
    <x:row r="7530" ht="18" customHeight="1"/>
    <x:row r="7531" ht="18" customHeight="1"/>
    <x:row r="7532" ht="18" customHeight="1"/>
    <x:row r="7533" ht="18" customHeight="1"/>
  </x:sheetData>
  <x:dataValidations count="4">
    <x:dataValidation type="list" sqref="B5:B220">
      <x:formula1>"21,22,23,24,25"</x:formula1>
    </x:dataValidation>
    <x:dataValidation operator="between" sqref="E5:E220">
      <x:formula1>0</x:formula1>
      <x:formula2>23</x:formula2>
    </x:dataValidation>
    <x:dataValidation operator="greaterThan" sqref="G5:G220">
      <x:formula1>0</x:formula1>
    </x:dataValidation>
    <x:dataValidation operator="greaterThanOrEqual" sqref="I5:I22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3229ad999e46fe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4" width="12" customWidth="1"/>
    <x:col min="5" max="5" width="20" customWidth="1"/>
    <x:col min="6" max="6" width="22" customWidth="1"/>
    <x:col min="7" max="7" width="14" customWidth="1"/>
    <x:col min="8" max="8" width="18" customWidth="1"/>
  </x:cols>
  <x:sheetData>
    <x:row r="1" ht="20.25">
      <x:c r="A1" s="26" t="s">
        <x:v>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15">
      <x:c r="A2" s="4" t="s">
        <x:v>45</x:v>
      </x:c>
    </x:row>
    <x:row r="3">
      <x:c r="A3" s="5" t="s">
        <x:v>46</x:v>
      </x:c>
    </x:row>
    <x:row r="4" ht="30" customHeight="1">
      <x:c r="A4" s="28" t="s">
        <x:v>9</x:v>
      </x:c>
      <x:c r="B4" s="28" t="s">
        <x:v>10</x:v>
      </x:c>
      <x:c r="C4" s="28" t="s">
        <x:v>11</x:v>
      </x:c>
      <x:c r="D4" s="28" t="s">
        <x:v>14</x:v>
      </x:c>
      <x:c r="E4" s="28" t="s">
        <x:v>12</x:v>
      </x:c>
      <x:c r="F4" s="28" t="s">
        <x:v>47</x:v>
      </x:c>
      <x:c r="G4" s="28" t="s">
        <x:v>48</x:v>
      </x:c>
      <x:c r="H4" s="28" t="s">
        <x:v>49</x:v>
      </x:c>
      <x:c r="I4" s="32" t="str">
        <x:v>ReworkedUnits</x:v>
      </x:c>
      <x:c r="J4" s="32" t="str">
        <x:v>QuantityCheck</x:v>
      </x:c>
      <x:c r="K4" s="32" t="str">
        <x:v>ReworkRecordID</x:v>
      </x:c>
      <x:c r="L4" s="32" t="str">
        <x:v>DataQualityCheck</x:v>
      </x:c>
    </x:row>
    <x:row r="5" ht="18" customHeight="1">
      <x:c r="A5" s="7" t="s">
        <x:v>18</x:v>
      </x:c>
      <x:c r="B5" s="7">
        <x:v>21</x:v>
      </x:c>
      <x:c r="C5" s="8">
        <x:v>45950</x:v>
      </x:c>
      <x:c r="D5" s="7" t="s">
        <x:v>23</x:v>
      </x:c>
      <x:c r="E5" s="7" t="s">
        <x:v>19</x:v>
      </x:c>
      <x:c r="F5" s="7" t="s">
        <x:v>50</x:v>
      </x:c>
      <x:c r="G5" s="10">
        <x:v>1</x:v>
      </x:c>
      <x:c r="H5" s="10">
        <x:v>1000</x:v>
      </x:c>
      <x:c r="I5" t="n">
        <x:f>IF(A5="","",G5*H5)</x:f>
        <x:v>1000</x:v>
      </x:c>
      <x:c r="J5" t="str">
        <x:f>IF(A5="","",IF(AND(G5&gt;=0,H5&gt;0),"OK","CHECK"))</x:f>
        <x:v>OK</x:v>
      </x:c>
      <x:c r="K5" t="str">
        <x:f>IF(A5="","", "RW-"&amp;A5&amp;"-L"&amp;TEXT(B5,"00")&amp;"-"&amp;TEXT(C5,"yyyymmdd")&amp;"-"&amp;D5&amp;"-"&amp;E5&amp;"-"&amp;F5)</x:f>
        <x:v>RW-KG01-L21-20251020-PM-ORD-2025-00019-Move to Cullet</x:v>
      </x:c>
      <x:c r="L5" t="str">
        <x:f>IF(A5="","",IF(AND(J5="OK",COUNTIF($K$5:$K$100,K5)=1),"OK","CHECK"))</x:f>
        <x:v>OK</x:v>
      </x:c>
    </x:row>
    <x:row r="6" ht="18" customHeight="1">
      <x:c r="A6" s="7" t="s">
        <x:v>18</x:v>
      </x:c>
      <x:c r="B6" s="7">
        <x:v>21</x:v>
      </x:c>
      <x:c r="C6" s="8">
        <x:v>45952</x:v>
      </x:c>
      <x:c r="D6" s="7" t="s">
        <x:v>20</x:v>
      </x:c>
      <x:c r="E6" s="7" t="s">
        <x:v>24</x:v>
      </x:c>
      <x:c r="F6" s="7" t="s">
        <x:v>50</x:v>
      </x:c>
      <x:c r="G6" s="10">
        <x:v>1</x:v>
      </x:c>
      <x:c r="H6" s="10">
        <x:v>800</x:v>
      </x:c>
      <x:c r="I6" t="n">
        <x:f>IF(A6="","",G6*H6)</x:f>
        <x:v>800</x:v>
      </x:c>
      <x:c r="J6" t="str">
        <x:f>IF(A6="","",IF(AND(G6&gt;=0,H6&gt;0),"OK","CHECK"))</x:f>
        <x:v>OK</x:v>
      </x:c>
      <x:c r="K6" t="str">
        <x:f>IF(A6="","", "RW-"&amp;A6&amp;"-L"&amp;TEXT(B6,"00")&amp;"-"&amp;TEXT(C6,"yyyymmdd")&amp;"-"&amp;D6&amp;"-"&amp;E6&amp;"-"&amp;F6)</x:f>
        <x:v>RW-KG01-L21-20251022-AM-ORD-2025-00020-Move to Cullet</x:v>
      </x:c>
      <x:c r="L6" t="str">
        <x:f>IF(A6="","",IF(AND(J6="OK",COUNTIF($K$5:$K$100,K6)=1),"OK","CHECK"))</x:f>
        <x:v>OK</x:v>
      </x:c>
    </x:row>
    <x:row r="7" ht="18" customHeight="1">
      <x:c r="A7" s="7" t="s">
        <x:v>18</x:v>
      </x:c>
      <x:c r="B7" s="7">
        <x:v>21</x:v>
      </x:c>
      <x:c r="C7" s="8">
        <x:v>45952</x:v>
      </x:c>
      <x:c r="D7" s="7" t="s">
        <x:v>23</x:v>
      </x:c>
      <x:c r="E7" s="7" t="s">
        <x:v>24</x:v>
      </x:c>
      <x:c r="F7" s="7" t="s">
        <x:v>50</x:v>
      </x:c>
      <x:c r="G7" s="10">
        <x:v>2</x:v>
      </x:c>
      <x:c r="H7" s="10">
        <x:v>800</x:v>
      </x:c>
      <x:c r="I7" t="n">
        <x:f>IF(A7="","",G7*H7)</x:f>
        <x:v>1600</x:v>
      </x:c>
      <x:c r="J7" t="str">
        <x:f>IF(A7="","",IF(AND(G7&gt;=0,H7&gt;0),"OK","CHECK"))</x:f>
        <x:v>OK</x:v>
      </x:c>
      <x:c r="K7" t="str">
        <x:f>IF(A7="","", "RW-"&amp;A7&amp;"-L"&amp;TEXT(B7,"00")&amp;"-"&amp;TEXT(C7,"yyyymmdd")&amp;"-"&amp;D7&amp;"-"&amp;E7&amp;"-"&amp;F7)</x:f>
        <x:v>RW-KG01-L21-20251022-PM-ORD-2025-00020-Move to Cullet</x:v>
      </x:c>
      <x:c r="L7" t="str">
        <x:f>IF(A7="","",IF(AND(J7="OK",COUNTIF($K$5:$K$100,K7)=1),"OK","CHECK"))</x:f>
        <x:v>OK</x:v>
      </x:c>
    </x:row>
    <x:row r="8" ht="18" customHeight="1">
      <x:c r="A8" s="7" t="s">
        <x:v>18</x:v>
      </x:c>
      <x:c r="B8" s="7">
        <x:v>21</x:v>
      </x:c>
      <x:c r="C8" s="8">
        <x:v>45953</x:v>
      </x:c>
      <x:c r="D8" s="7" t="s">
        <x:v>20</x:v>
      </x:c>
      <x:c r="E8" s="7" t="s">
        <x:v>24</x:v>
      </x:c>
      <x:c r="F8" s="7" t="s">
        <x:v>51</x:v>
      </x:c>
      <x:c r="G8" s="10">
        <x:v>1</x:v>
      </x:c>
      <x:c r="H8" s="10">
        <x:v>800</x:v>
      </x:c>
      <x:c r="I8" t="n">
        <x:f>IF(A8="","",G8*H8)</x:f>
        <x:v>800</x:v>
      </x:c>
      <x:c r="J8" t="str">
        <x:f>IF(A8="","",IF(AND(G8&gt;=0,H8&gt;0),"OK","CHECK"))</x:f>
        <x:v>OK</x:v>
      </x:c>
      <x:c r="K8" t="str">
        <x:f>IF(A8="","", "RW-"&amp;A8&amp;"-L"&amp;TEXT(B8,"00")&amp;"-"&amp;TEXT(C8,"yyyymmdd")&amp;"-"&amp;D8&amp;"-"&amp;E8&amp;"-"&amp;F8)</x:f>
        <x:v>RW-KG01-L21-20251023-AM-ORD-2025-00020-Resorted</x:v>
      </x:c>
      <x:c r="L8" t="str">
        <x:f>IF(A8="","",IF(AND(J8="OK",COUNTIF($K$5:$K$100,K8)=1),"OK","CHECK"))</x:f>
        <x:v>OK</x:v>
      </x:c>
    </x:row>
    <x:row r="9" ht="18" customHeight="1">
      <x:c r="A9" s="7" t="s">
        <x:v>18</x:v>
      </x:c>
      <x:c r="B9" s="7">
        <x:v>21</x:v>
      </x:c>
      <x:c r="C9" s="8">
        <x:v>45954</x:v>
      </x:c>
      <x:c r="D9" s="7" t="s">
        <x:v>20</x:v>
      </x:c>
      <x:c r="E9" s="7" t="s">
        <x:v>24</x:v>
      </x:c>
      <x:c r="F9" s="7" t="s">
        <x:v>51</x:v>
      </x:c>
      <x:c r="G9" s="10">
        <x:v>1</x:v>
      </x:c>
      <x:c r="H9" s="10">
        <x:v>800</x:v>
      </x:c>
      <x:c r="I9" t="n">
        <x:f>IF(A9="","",G9*H9)</x:f>
        <x:v>800</x:v>
      </x:c>
      <x:c r="J9" t="str">
        <x:f>IF(A9="","",IF(AND(G9&gt;=0,H9&gt;0),"OK","CHECK"))</x:f>
        <x:v>OK</x:v>
      </x:c>
      <x:c r="K9" t="str">
        <x:f>IF(A9="","", "RW-"&amp;A9&amp;"-L"&amp;TEXT(B9,"00")&amp;"-"&amp;TEXT(C9,"yyyymmdd")&amp;"-"&amp;D9&amp;"-"&amp;E9&amp;"-"&amp;F9)</x:f>
        <x:v>RW-KG01-L21-20251024-AM-ORD-2025-00020-Resorted</x:v>
      </x:c>
      <x:c r="L9" t="str">
        <x:f>IF(A9="","",IF(AND(J9="OK",COUNTIF($K$5:$K$100,K9)=1),"OK","CHECK"))</x:f>
        <x:v>OK</x:v>
      </x:c>
    </x:row>
    <x:row r="10" ht="18" customHeight="1">
      <x:c r="A10" s="7" t="s">
        <x:v>18</x:v>
      </x:c>
      <x:c r="B10" s="7">
        <x:v>21</x:v>
      </x:c>
      <x:c r="C10" s="8">
        <x:v>45955</x:v>
      </x:c>
      <x:c r="D10" s="7" t="s">
        <x:v>20</x:v>
      </x:c>
      <x:c r="E10" s="7" t="s">
        <x:v>31</x:v>
      </x:c>
      <x:c r="F10" s="7" t="s">
        <x:v>51</x:v>
      </x:c>
      <x:c r="G10" s="10">
        <x:v>2</x:v>
      </x:c>
      <x:c r="H10" s="10">
        <x:v>1000</x:v>
      </x:c>
      <x:c r="I10" t="n">
        <x:f>IF(A10="","",G10*H10)</x:f>
        <x:v>2000</x:v>
      </x:c>
      <x:c r="J10" t="str">
        <x:f>IF(A10="","",IF(AND(G10&gt;=0,H10&gt;0),"OK","CHECK"))</x:f>
        <x:v>OK</x:v>
      </x:c>
      <x:c r="K10" t="str">
        <x:f>IF(A10="","", "RW-"&amp;A10&amp;"-L"&amp;TEXT(B10,"00")&amp;"-"&amp;TEXT(C10,"yyyymmdd")&amp;"-"&amp;D10&amp;"-"&amp;E10&amp;"-"&amp;F10)</x:f>
        <x:v>RW-KG01-L21-20251025-AM-ORD-2025-00021-Resorted</x:v>
      </x:c>
      <x:c r="L10" t="str">
        <x:f>IF(A10="","",IF(AND(J10="OK",COUNTIF($K$5:$K$100,K10)=1),"OK","CHECK"))</x:f>
        <x:v>OK</x:v>
      </x:c>
    </x:row>
    <x:row r="11" ht="18" customHeight="1">
      <x:c r="A11" s="7" t="s">
        <x:v>18</x:v>
      </x:c>
      <x:c r="B11" s="7">
        <x:v>22</x:v>
      </x:c>
      <x:c r="C11" s="8">
        <x:v>45951</x:v>
      </x:c>
      <x:c r="D11" s="7" t="s">
        <x:v>20</x:v>
      </x:c>
      <x:c r="E11" s="7" t="s">
        <x:v>32</x:v>
      </x:c>
      <x:c r="F11" s="7" t="s">
        <x:v>50</x:v>
      </x:c>
      <x:c r="G11" s="10">
        <x:v>1</x:v>
      </x:c>
      <x:c r="H11" s="10">
        <x:v>800</x:v>
      </x:c>
      <x:c r="I11" t="n">
        <x:f>IF(A11="","",G11*H11)</x:f>
        <x:v>800</x:v>
      </x:c>
      <x:c r="J11" t="str">
        <x:f>IF(A11="","",IF(AND(G11&gt;=0,H11&gt;0),"OK","CHECK"))</x:f>
        <x:v>OK</x:v>
      </x:c>
      <x:c r="K11" t="str">
        <x:f>IF(A11="","", "RW-"&amp;A11&amp;"-L"&amp;TEXT(B11,"00")&amp;"-"&amp;TEXT(C11,"yyyymmdd")&amp;"-"&amp;D11&amp;"-"&amp;E11&amp;"-"&amp;F11)</x:f>
        <x:v>RW-KG01-L22-20251021-AM-ORD-2025-00056-Move to Cullet</x:v>
      </x:c>
      <x:c r="L11" t="str">
        <x:f>IF(A11="","",IF(AND(J11="OK",COUNTIF($K$5:$K$100,K11)=1),"OK","CHECK"))</x:f>
        <x:v>OK</x:v>
      </x:c>
    </x:row>
    <x:row r="12" ht="18" customHeight="1">
      <x:c r="A12" s="7" t="s">
        <x:v>18</x:v>
      </x:c>
      <x:c r="B12" s="7">
        <x:v>22</x:v>
      </x:c>
      <x:c r="C12" s="8">
        <x:v>45953</x:v>
      </x:c>
      <x:c r="D12" s="7" t="s">
        <x:v>20</x:v>
      </x:c>
      <x:c r="E12" s="7" t="s">
        <x:v>34</x:v>
      </x:c>
      <x:c r="F12" s="7" t="s">
        <x:v>50</x:v>
      </x:c>
      <x:c r="G12" s="10">
        <x:v>2</x:v>
      </x:c>
      <x:c r="H12" s="10">
        <x:v>800</x:v>
      </x:c>
      <x:c r="I12" t="n">
        <x:f>IF(A12="","",G12*H12)</x:f>
        <x:v>1600</x:v>
      </x:c>
      <x:c r="J12" t="str">
        <x:f>IF(A12="","",IF(AND(G12&gt;=0,H12&gt;0),"OK","CHECK"))</x:f>
        <x:v>OK</x:v>
      </x:c>
      <x:c r="K12" t="str">
        <x:f>IF(A12="","", "RW-"&amp;A12&amp;"-L"&amp;TEXT(B12,"00")&amp;"-"&amp;TEXT(C12,"yyyymmdd")&amp;"-"&amp;D12&amp;"-"&amp;E12&amp;"-"&amp;F12)</x:f>
        <x:v>RW-KG01-L22-20251023-AM-ORD-2025-00057-Move to Cullet</x:v>
      </x:c>
      <x:c r="L12" t="str">
        <x:f>IF(A12="","",IF(AND(J12="OK",COUNTIF($K$5:$K$100,K12)=1),"OK","CHECK"))</x:f>
        <x:v>OK</x:v>
      </x:c>
    </x:row>
    <x:row r="13" ht="18" customHeight="1">
      <x:c r="A13" s="7" t="s">
        <x:v>18</x:v>
      </x:c>
      <x:c r="B13" s="7">
        <x:v>23</x:v>
      </x:c>
      <x:c r="C13" s="8">
        <x:v>45950</x:v>
      </x:c>
      <x:c r="D13" s="7" t="s">
        <x:v>20</x:v>
      </x:c>
      <x:c r="E13" s="7" t="s">
        <x:v>36</x:v>
      </x:c>
      <x:c r="F13" s="7" t="s">
        <x:v>51</x:v>
      </x:c>
      <x:c r="G13" s="10">
        <x:v>4</x:v>
      </x:c>
      <x:c r="H13" s="10">
        <x:v>1000</x:v>
      </x:c>
      <x:c r="I13" t="n">
        <x:f>IF(A13="","",G13*H13)</x:f>
        <x:v>4000</x:v>
      </x:c>
      <x:c r="J13" t="str">
        <x:f>IF(A13="","",IF(AND(G13&gt;=0,H13&gt;0),"OK","CHECK"))</x:f>
        <x:v>OK</x:v>
      </x:c>
      <x:c r="K13" t="str">
        <x:f>IF(A13="","", "RW-"&amp;A13&amp;"-L"&amp;TEXT(B13,"00")&amp;"-"&amp;TEXT(C13,"yyyymmdd")&amp;"-"&amp;D13&amp;"-"&amp;E13&amp;"-"&amp;F13)</x:f>
        <x:v>RW-KG01-L23-20251020-AM-ORD-2025-00092-Resorted</x:v>
      </x:c>
      <x:c r="L13" t="str">
        <x:f>IF(A13="","",IF(AND(J13="OK",COUNTIF($K$5:$K$100,K13)=1),"OK","CHECK"))</x:f>
        <x:v>OK</x:v>
      </x:c>
    </x:row>
    <x:row r="14" ht="18" customHeight="1">
      <x:c r="A14" s="7" t="s">
        <x:v>18</x:v>
      </x:c>
      <x:c r="B14" s="7">
        <x:v>23</x:v>
      </x:c>
      <x:c r="C14" s="8">
        <x:v>45952</x:v>
      </x:c>
      <x:c r="D14" s="7" t="s">
        <x:v>23</x:v>
      </x:c>
      <x:c r="E14" s="7" t="s">
        <x:v>37</x:v>
      </x:c>
      <x:c r="F14" s="7" t="s">
        <x:v>51</x:v>
      </x:c>
      <x:c r="G14" s="10">
        <x:v>1</x:v>
      </x:c>
      <x:c r="H14" s="10">
        <x:v>800</x:v>
      </x:c>
      <x:c r="I14" t="n">
        <x:f>IF(A14="","",G14*H14)</x:f>
        <x:v>800</x:v>
      </x:c>
      <x:c r="J14" t="str">
        <x:f>IF(A14="","",IF(AND(G14&gt;=0,H14&gt;0),"OK","CHECK"))</x:f>
        <x:v>OK</x:v>
      </x:c>
      <x:c r="K14" t="str">
        <x:f>IF(A14="","", "RW-"&amp;A14&amp;"-L"&amp;TEXT(B14,"00")&amp;"-"&amp;TEXT(C14,"yyyymmdd")&amp;"-"&amp;D14&amp;"-"&amp;E14&amp;"-"&amp;F14)</x:f>
        <x:v>RW-KG01-L23-20251022-PM-ORD-2025-00093-Resorted</x:v>
      </x:c>
      <x:c r="L14" t="str">
        <x:f>IF(A14="","",IF(AND(J14="OK",COUNTIF($K$5:$K$100,K14)=1),"OK","CHECK"))</x:f>
        <x:v>OK</x:v>
      </x:c>
    </x:row>
    <x:row r="15" ht="18" customHeight="1">
      <x:c r="A15" s="7" t="s">
        <x:v>18</x:v>
      </x:c>
      <x:c r="B15" s="7">
        <x:v>23</x:v>
      </x:c>
      <x:c r="C15" s="8">
        <x:v>45954</x:v>
      </x:c>
      <x:c r="D15" s="7" t="s">
        <x:v>23</x:v>
      </x:c>
      <x:c r="E15" s="7" t="s">
        <x:v>37</x:v>
      </x:c>
      <x:c r="F15" s="7" t="s">
        <x:v>51</x:v>
      </x:c>
      <x:c r="G15" s="10">
        <x:v>1</x:v>
      </x:c>
      <x:c r="H15" s="10">
        <x:v>800</x:v>
      </x:c>
      <x:c r="I15" t="n">
        <x:f>IF(A15="","",G15*H15)</x:f>
        <x:v>800</x:v>
      </x:c>
      <x:c r="J15" t="str">
        <x:f>IF(A15="","",IF(AND(G15&gt;=0,H15&gt;0),"OK","CHECK"))</x:f>
        <x:v>OK</x:v>
      </x:c>
      <x:c r="K15" t="str">
        <x:f>IF(A15="","", "RW-"&amp;A15&amp;"-L"&amp;TEXT(B15,"00")&amp;"-"&amp;TEXT(C15,"yyyymmdd")&amp;"-"&amp;D15&amp;"-"&amp;E15&amp;"-"&amp;F15)</x:f>
        <x:v>RW-KG01-L23-20251024-PM-ORD-2025-00093-Resorted</x:v>
      </x:c>
      <x:c r="L15" t="str">
        <x:f>IF(A15="","",IF(AND(J15="OK",COUNTIF($K$5:$K$100,K15)=1),"OK","CHECK"))</x:f>
        <x:v>OK</x:v>
      </x:c>
    </x:row>
    <x:row r="16" ht="18" customHeight="1">
      <x:c r="A16" s="7" t="s">
        <x:v>18</x:v>
      </x:c>
      <x:c r="B16" s="7">
        <x:v>24</x:v>
      </x:c>
      <x:c r="C16" s="8">
        <x:v>45953</x:v>
      </x:c>
      <x:c r="D16" s="7" t="s">
        <x:v>20</x:v>
      </x:c>
      <x:c r="E16" s="7" t="s">
        <x:v>40</x:v>
      </x:c>
      <x:c r="F16" s="7" t="s">
        <x:v>51</x:v>
      </x:c>
      <x:c r="G16" s="10">
        <x:v>2</x:v>
      </x:c>
      <x:c r="H16" s="10">
        <x:v>1000</x:v>
      </x:c>
      <x:c r="I16" t="n">
        <x:f>IF(A16="","",G16*H16)</x:f>
        <x:v>2000</x:v>
      </x:c>
      <x:c r="J16" t="str">
        <x:f>IF(A16="","",IF(AND(G16&gt;=0,H16&gt;0),"OK","CHECK"))</x:f>
        <x:v>OK</x:v>
      </x:c>
      <x:c r="K16" t="str">
        <x:f>IF(A16="","", "RW-"&amp;A16&amp;"-L"&amp;TEXT(B16,"00")&amp;"-"&amp;TEXT(C16,"yyyymmdd")&amp;"-"&amp;D16&amp;"-"&amp;E16&amp;"-"&amp;F16)</x:f>
        <x:v>RW-KG01-L24-20251023-AM-ORD-2025-00125-Resorted</x:v>
      </x:c>
      <x:c r="L16" t="str">
        <x:f>IF(A16="","",IF(AND(J16="OK",COUNTIF($K$5:$K$100,K16)=1),"OK","CHECK"))</x:f>
        <x:v>OK</x:v>
      </x:c>
    </x:row>
    <x:row r="17" ht="18" customHeight="1">
      <x:c r="A17" s="7" t="s">
        <x:v>18</x:v>
      </x:c>
      <x:c r="B17" s="7">
        <x:v>24</x:v>
      </x:c>
      <x:c r="C17" s="8">
        <x:v>45954</x:v>
      </x:c>
      <x:c r="D17" s="7" t="s">
        <x:v>23</x:v>
      </x:c>
      <x:c r="E17" s="7" t="s">
        <x:v>40</x:v>
      </x:c>
      <x:c r="F17" s="7" t="s">
        <x:v>51</x:v>
      </x:c>
      <x:c r="G17" s="10">
        <x:v>1</x:v>
      </x:c>
      <x:c r="H17" s="10">
        <x:v>1000</x:v>
      </x:c>
      <x:c r="I17" t="n">
        <x:f>IF(A17="","",G17*H17)</x:f>
        <x:v>1000</x:v>
      </x:c>
      <x:c r="J17" t="str">
        <x:f>IF(A17="","",IF(AND(G17&gt;=0,H17&gt;0),"OK","CHECK"))</x:f>
        <x:v>OK</x:v>
      </x:c>
      <x:c r="K17" t="str">
        <x:f>IF(A17="","", "RW-"&amp;A17&amp;"-L"&amp;TEXT(B17,"00")&amp;"-"&amp;TEXT(C17,"yyyymmdd")&amp;"-"&amp;D17&amp;"-"&amp;E17&amp;"-"&amp;F17)</x:f>
        <x:v>RW-KG01-L24-20251024-PM-ORD-2025-00125-Resorted</x:v>
      </x:c>
      <x:c r="L17" t="str">
        <x:f>IF(A17="","",IF(AND(J17="OK",COUNTIF($K$5:$K$100,K17)=1),"OK","CHECK"))</x:f>
        <x:v>OK</x:v>
      </x:c>
    </x:row>
    <x:row r="18" ht="18" customHeight="1">
      <x:c r="A18" s="7" t="s">
        <x:v>18</x:v>
      </x:c>
      <x:c r="B18" s="7">
        <x:v>24</x:v>
      </x:c>
      <x:c r="C18" s="8">
        <x:v>45955</x:v>
      </x:c>
      <x:c r="D18" s="7" t="s">
        <x:v>20</x:v>
      </x:c>
      <x:c r="E18" s="7" t="s">
        <x:v>41</x:v>
      </x:c>
      <x:c r="F18" s="7" t="s">
        <x:v>51</x:v>
      </x:c>
      <x:c r="G18" s="10">
        <x:v>2</x:v>
      </x:c>
      <x:c r="H18" s="10">
        <x:v>800</x:v>
      </x:c>
      <x:c r="I18" t="n">
        <x:f>IF(A18="","",G18*H18)</x:f>
        <x:v>1600</x:v>
      </x:c>
      <x:c r="J18" t="str">
        <x:f>IF(A18="","",IF(AND(G18&gt;=0,H18&gt;0),"OK","CHECK"))</x:f>
        <x:v>OK</x:v>
      </x:c>
      <x:c r="K18" t="str">
        <x:f>IF(A18="","", "RW-"&amp;A18&amp;"-L"&amp;TEXT(B18,"00")&amp;"-"&amp;TEXT(C18,"yyyymmdd")&amp;"-"&amp;D18&amp;"-"&amp;E18&amp;"-"&amp;F18)</x:f>
        <x:v>RW-KG01-L24-20251025-AM-ORD-2025-00126-Resorted</x:v>
      </x:c>
      <x:c r="L18" t="str">
        <x:f>IF(A18="","",IF(AND(J18="OK",COUNTIF($K$5:$K$100,K18)=1),"OK","CHECK"))</x:f>
        <x:v>OK</x:v>
      </x:c>
    </x:row>
    <x:row r="19" ht="18" customHeight="1">
      <x:c r="A19" s="7" t="s">
        <x:v>18</x:v>
      </x:c>
      <x:c r="B19" s="7">
        <x:v>25</x:v>
      </x:c>
      <x:c r="C19" s="8">
        <x:v>45950</x:v>
      </x:c>
      <x:c r="D19" s="7" t="s">
        <x:v>23</x:v>
      </x:c>
      <x:c r="E19" s="7" t="s">
        <x:v>42</x:v>
      </x:c>
      <x:c r="F19" s="7" t="s">
        <x:v>51</x:v>
      </x:c>
      <x:c r="G19" s="10">
        <x:v>1</x:v>
      </x:c>
      <x:c r="H19" s="10">
        <x:v>800</x:v>
      </x:c>
      <x:c r="I19" t="n">
        <x:f>IF(A19="","",G19*H19)</x:f>
        <x:v>800</x:v>
      </x:c>
      <x:c r="J19" t="str">
        <x:f>IF(A19="","",IF(AND(G19&gt;=0,H19&gt;0),"OK","CHECK"))</x:f>
        <x:v>OK</x:v>
      </x:c>
      <x:c r="K19" t="str">
        <x:f>IF(A19="","", "RW-"&amp;A19&amp;"-L"&amp;TEXT(B19,"00")&amp;"-"&amp;TEXT(C19,"yyyymmdd")&amp;"-"&amp;D19&amp;"-"&amp;E19&amp;"-"&amp;F19)</x:f>
        <x:v>RW-KG01-L25-20251020-PM-ORD-2025-00161-Resorted</x:v>
      </x:c>
      <x:c r="L19" t="str">
        <x:f>IF(A19="","",IF(AND(J19="OK",COUNTIF($K$5:$K$100,K19)=1),"OK","CHECK"))</x:f>
        <x:v>OK</x:v>
      </x:c>
    </x:row>
    <x:row r="20" ht="18" customHeight="1">
      <x:c r="A20" s="7" t="s">
        <x:v>18</x:v>
      </x:c>
      <x:c r="B20" s="7">
        <x:v>25</x:v>
      </x:c>
      <x:c r="C20" s="8">
        <x:v>45952</x:v>
      </x:c>
      <x:c r="D20" s="7" t="s">
        <x:v>20</x:v>
      </x:c>
      <x:c r="E20" s="7" t="s">
        <x:v>42</x:v>
      </x:c>
      <x:c r="F20" s="7" t="s">
        <x:v>51</x:v>
      </x:c>
      <x:c r="G20" s="10">
        <x:v>1</x:v>
      </x:c>
      <x:c r="H20" s="10">
        <x:v>800</x:v>
      </x:c>
      <x:c r="I20" t="n">
        <x:f>IF(A20="","",G20*H20)</x:f>
        <x:v>800</x:v>
      </x:c>
      <x:c r="J20" t="str">
        <x:f>IF(A20="","",IF(AND(G20&gt;=0,H20&gt;0),"OK","CHECK"))</x:f>
        <x:v>OK</x:v>
      </x:c>
      <x:c r="K20" t="str">
        <x:f>IF(A20="","", "RW-"&amp;A20&amp;"-L"&amp;TEXT(B20,"00")&amp;"-"&amp;TEXT(C20,"yyyymmdd")&amp;"-"&amp;D20&amp;"-"&amp;E20&amp;"-"&amp;F20)</x:f>
        <x:v>RW-KG01-L25-20251022-AM-ORD-2025-00161-Resorted</x:v>
      </x:c>
      <x:c r="L20" t="str">
        <x:f>IF(A20="","",IF(AND(J20="OK",COUNTIF($K$5:$K$100,K20)=1),"OK","CHECK"))</x:f>
        <x:v>OK</x:v>
      </x:c>
    </x:row>
    <x:row r="21" ht="18" customHeight="1">
      <x:c r="A21" s="7" t="s">
        <x:v>18</x:v>
      </x:c>
      <x:c r="B21" s="7">
        <x:v>25</x:v>
      </x:c>
      <x:c r="C21" s="8">
        <x:v>45952</x:v>
      </x:c>
      <x:c r="D21" s="7" t="s">
        <x:v>23</x:v>
      </x:c>
      <x:c r="E21" s="7" t="s">
        <x:v>42</x:v>
      </x:c>
      <x:c r="F21" s="7" t="s">
        <x:v>51</x:v>
      </x:c>
      <x:c r="G21" s="10">
        <x:v>1</x:v>
      </x:c>
      <x:c r="H21" s="10">
        <x:v>800</x:v>
      </x:c>
      <x:c r="I21" t="n">
        <x:f>IF(A21="","",G21*H21)</x:f>
        <x:v>800</x:v>
      </x:c>
      <x:c r="J21" t="str">
        <x:f>IF(A21="","",IF(AND(G21&gt;=0,H21&gt;0),"OK","CHECK"))</x:f>
        <x:v>OK</x:v>
      </x:c>
      <x:c r="K21" t="str">
        <x:f>IF(A21="","", "RW-"&amp;A21&amp;"-L"&amp;TEXT(B21,"00")&amp;"-"&amp;TEXT(C21,"yyyymmdd")&amp;"-"&amp;D21&amp;"-"&amp;E21&amp;"-"&amp;F21)</x:f>
        <x:v>RW-KG01-L25-20251022-PM-ORD-2025-00161-Resorted</x:v>
      </x:c>
      <x:c r="L21" t="str">
        <x:f>IF(A21="","",IF(AND(J21="OK",COUNTIF($K$5:$K$100,K21)=1),"OK","CHECK"))</x:f>
        <x:v>OK</x:v>
      </x:c>
    </x:row>
    <x:row r="22" ht="18" customHeight="1">
      <x:c r="A22" s="7" t="s">
        <x:v>18</x:v>
      </x:c>
      <x:c r="B22" s="7">
        <x:v>25</x:v>
      </x:c>
      <x:c r="C22" s="8">
        <x:v>45954</x:v>
      </x:c>
      <x:c r="D22" s="7" t="s">
        <x:v>20</x:v>
      </x:c>
      <x:c r="E22" s="7" t="s">
        <x:v>43</x:v>
      </x:c>
      <x:c r="F22" s="7" t="s">
        <x:v>51</x:v>
      </x:c>
      <x:c r="G22" s="10">
        <x:v>1</x:v>
      </x:c>
      <x:c r="H22" s="10">
        <x:v>1000</x:v>
      </x:c>
      <x:c r="I22" t="n">
        <x:f>IF(A22="","",G22*H22)</x:f>
        <x:v>1000</x:v>
      </x:c>
      <x:c r="J22" t="str">
        <x:f>IF(A22="","",IF(AND(G22&gt;=0,H22&gt;0),"OK","CHECK"))</x:f>
        <x:v>OK</x:v>
      </x:c>
      <x:c r="K22" t="str">
        <x:f>IF(A22="","", "RW-"&amp;A22&amp;"-L"&amp;TEXT(B22,"00")&amp;"-"&amp;TEXT(C22,"yyyymmdd")&amp;"-"&amp;D22&amp;"-"&amp;E22&amp;"-"&amp;F22)</x:f>
        <x:v>RW-KG01-L25-20251024-AM-ORD-2025-00162-Resorted</x:v>
      </x:c>
      <x:c r="L22" t="str">
        <x:f>IF(A22="","",IF(AND(J22="OK",COUNTIF($K$5:$K$100,K22)=1),"OK","CHECK"))</x:f>
        <x:v>OK</x:v>
      </x:c>
    </x:row>
    <x:row r="23" ht="18" customHeight="1">
      <x:c r="I23" t="str">
        <x:f>IF(A23="","",G23*H23)</x:f>
      </x:c>
      <x:c r="J23" t="str">
        <x:f>IF(A23="","",IF(AND(G23&gt;=0,H23&gt;0),"OK","CHECK"))</x:f>
      </x:c>
      <x:c r="K23" t="str">
        <x:f>IF(A23="","", "RW-"&amp;A23&amp;"-L"&amp;TEXT(B23,"00")&amp;"-"&amp;TEXT(C23,"yyyymmdd")&amp;"-"&amp;D23&amp;"-"&amp;E23&amp;"-"&amp;F23)</x:f>
      </x:c>
      <x:c r="L23" t="str">
        <x:f>IF(A23="","",IF(AND(J23="OK",COUNTIF($K$5:$K$100,K23)=1),"OK","CHECK"))</x:f>
      </x:c>
    </x:row>
    <x:row r="24" ht="18" customHeight="1">
      <x:c r="I24" t="str">
        <x:f>IF(A24="","",G24*H24)</x:f>
      </x:c>
      <x:c r="J24" t="str">
        <x:f>IF(A24="","",IF(AND(G24&gt;=0,H24&gt;0),"OK","CHECK"))</x:f>
      </x:c>
      <x:c r="K24" t="str">
        <x:f>IF(A24="","", "RW-"&amp;A24&amp;"-L"&amp;TEXT(B24,"00")&amp;"-"&amp;TEXT(C24,"yyyymmdd")&amp;"-"&amp;D24&amp;"-"&amp;E24&amp;"-"&amp;F24)</x:f>
      </x:c>
      <x:c r="L24" t="str">
        <x:f>IF(A24="","",IF(AND(J24="OK",COUNTIF($K$5:$K$100,K24)=1),"OK","CHECK"))</x:f>
      </x:c>
    </x:row>
    <x:row r="25" ht="18" customHeight="1">
      <x:c r="I25" t="str">
        <x:f>IF(A25="","",G25*H25)</x:f>
      </x:c>
      <x:c r="J25" t="str">
        <x:f>IF(A25="","",IF(AND(G25&gt;=0,H25&gt;0),"OK","CHECK"))</x:f>
      </x:c>
      <x:c r="K25" t="str">
        <x:f>IF(A25="","", "RW-"&amp;A25&amp;"-L"&amp;TEXT(B25,"00")&amp;"-"&amp;TEXT(C25,"yyyymmdd")&amp;"-"&amp;D25&amp;"-"&amp;E25&amp;"-"&amp;F25)</x:f>
      </x:c>
      <x:c r="L25" t="str">
        <x:f>IF(A25="","",IF(AND(J25="OK",COUNTIF($K$5:$K$100,K25)=1),"OK","CHECK"))</x:f>
      </x:c>
    </x:row>
    <x:row r="26" ht="18" customHeight="1">
      <x:c r="I26" t="str">
        <x:f>IF(A26="","",G26*H26)</x:f>
      </x:c>
      <x:c r="J26" t="str">
        <x:f>IF(A26="","",IF(AND(G26&gt;=0,H26&gt;0),"OK","CHECK"))</x:f>
      </x:c>
      <x:c r="K26" t="str">
        <x:f>IF(A26="","", "RW-"&amp;A26&amp;"-L"&amp;TEXT(B26,"00")&amp;"-"&amp;TEXT(C26,"yyyymmdd")&amp;"-"&amp;D26&amp;"-"&amp;E26&amp;"-"&amp;F26)</x:f>
      </x:c>
      <x:c r="L26" t="str">
        <x:f>IF(A26="","",IF(AND(J26="OK",COUNTIF($K$5:$K$100,K26)=1),"OK","CHECK"))</x:f>
      </x:c>
    </x:row>
    <x:row r="27" ht="18" customHeight="1">
      <x:c r="I27" t="str">
        <x:f>IF(A27="","",G27*H27)</x:f>
      </x:c>
      <x:c r="J27" t="str">
        <x:f>IF(A27="","",IF(AND(G27&gt;=0,H27&gt;0),"OK","CHECK"))</x:f>
      </x:c>
      <x:c r="K27" t="str">
        <x:f>IF(A27="","", "RW-"&amp;A27&amp;"-L"&amp;TEXT(B27,"00")&amp;"-"&amp;TEXT(C27,"yyyymmdd")&amp;"-"&amp;D27&amp;"-"&amp;E27&amp;"-"&amp;F27)</x:f>
      </x:c>
      <x:c r="L27" t="str">
        <x:f>IF(A27="","",IF(AND(J27="OK",COUNTIF($K$5:$K$100,K27)=1),"OK","CHECK"))</x:f>
      </x:c>
    </x:row>
    <x:row r="28" ht="18" customHeight="1">
      <x:c r="I28" t="str">
        <x:f>IF(A28="","",G28*H28)</x:f>
      </x:c>
      <x:c r="J28" t="str">
        <x:f>IF(A28="","",IF(AND(G28&gt;=0,H28&gt;0),"OK","CHECK"))</x:f>
      </x:c>
      <x:c r="K28" t="str">
        <x:f>IF(A28="","", "RW-"&amp;A28&amp;"-L"&amp;TEXT(B28,"00")&amp;"-"&amp;TEXT(C28,"yyyymmdd")&amp;"-"&amp;D28&amp;"-"&amp;E28&amp;"-"&amp;F28)</x:f>
      </x:c>
      <x:c r="L28" t="str">
        <x:f>IF(A28="","",IF(AND(J28="OK",COUNTIF($K$5:$K$100,K28)=1),"OK","CHECK"))</x:f>
      </x:c>
    </x:row>
    <x:row r="29" ht="18" customHeight="1">
      <x:c r="I29" t="str">
        <x:f>IF(A29="","",G29*H29)</x:f>
      </x:c>
      <x:c r="J29" t="str">
        <x:f>IF(A29="","",IF(AND(G29&gt;=0,H29&gt;0),"OK","CHECK"))</x:f>
      </x:c>
      <x:c r="K29" t="str">
        <x:f>IF(A29="","", "RW-"&amp;A29&amp;"-L"&amp;TEXT(B29,"00")&amp;"-"&amp;TEXT(C29,"yyyymmdd")&amp;"-"&amp;D29&amp;"-"&amp;E29&amp;"-"&amp;F29)</x:f>
      </x:c>
      <x:c r="L29" t="str">
        <x:f>IF(A29="","",IF(AND(J29="OK",COUNTIF($K$5:$K$100,K29)=1),"OK","CHECK"))</x:f>
      </x:c>
    </x:row>
    <x:row r="30" ht="18" customHeight="1">
      <x:c r="I30" t="str">
        <x:f>IF(A30="","",G30*H30)</x:f>
      </x:c>
      <x:c r="J30" t="str">
        <x:f>IF(A30="","",IF(AND(G30&gt;=0,H30&gt;0),"OK","CHECK"))</x:f>
      </x:c>
      <x:c r="K30" t="str">
        <x:f>IF(A30="","", "RW-"&amp;A30&amp;"-L"&amp;TEXT(B30,"00")&amp;"-"&amp;TEXT(C30,"yyyymmdd")&amp;"-"&amp;D30&amp;"-"&amp;E30&amp;"-"&amp;F30)</x:f>
      </x:c>
      <x:c r="L30" t="str">
        <x:f>IF(A30="","",IF(AND(J30="OK",COUNTIF($K$5:$K$100,K30)=1),"OK","CHECK"))</x:f>
      </x:c>
    </x:row>
    <x:row r="31" ht="18" customHeight="1">
      <x:c r="I31" t="str">
        <x:f>IF(A31="","",G31*H31)</x:f>
      </x:c>
      <x:c r="J31" t="str">
        <x:f>IF(A31="","",IF(AND(G31&gt;=0,H31&gt;0),"OK","CHECK"))</x:f>
      </x:c>
      <x:c r="K31" t="str">
        <x:f>IF(A31="","", "RW-"&amp;A31&amp;"-L"&amp;TEXT(B31,"00")&amp;"-"&amp;TEXT(C31,"yyyymmdd")&amp;"-"&amp;D31&amp;"-"&amp;E31&amp;"-"&amp;F31)</x:f>
      </x:c>
      <x:c r="L31" t="str">
        <x:f>IF(A31="","",IF(AND(J31="OK",COUNTIF($K$5:$K$100,K31)=1),"OK","CHECK"))</x:f>
      </x:c>
    </x:row>
    <x:row r="32" ht="18" customHeight="1">
      <x:c r="I32" t="str">
        <x:f>IF(A32="","",G32*H32)</x:f>
      </x:c>
      <x:c r="J32" t="str">
        <x:f>IF(A32="","",IF(AND(G32&gt;=0,H32&gt;0),"OK","CHECK"))</x:f>
      </x:c>
      <x:c r="K32" t="str">
        <x:f>IF(A32="","", "RW-"&amp;A32&amp;"-L"&amp;TEXT(B32,"00")&amp;"-"&amp;TEXT(C32,"yyyymmdd")&amp;"-"&amp;D32&amp;"-"&amp;E32&amp;"-"&amp;F32)</x:f>
      </x:c>
      <x:c r="L32" t="str">
        <x:f>IF(A32="","",IF(AND(J32="OK",COUNTIF($K$5:$K$100,K32)=1),"OK","CHECK"))</x:f>
      </x:c>
    </x:row>
    <x:row r="33" ht="18" customHeight="1">
      <x:c r="I33" t="str">
        <x:f>IF(A33="","",G33*H33)</x:f>
      </x:c>
      <x:c r="J33" t="str">
        <x:f>IF(A33="","",IF(AND(G33&gt;=0,H33&gt;0),"OK","CHECK"))</x:f>
      </x:c>
      <x:c r="K33" t="str">
        <x:f>IF(A33="","", "RW-"&amp;A33&amp;"-L"&amp;TEXT(B33,"00")&amp;"-"&amp;TEXT(C33,"yyyymmdd")&amp;"-"&amp;D33&amp;"-"&amp;E33&amp;"-"&amp;F33)</x:f>
      </x:c>
      <x:c r="L33" t="str">
        <x:f>IF(A33="","",IF(AND(J33="OK",COUNTIF($K$5:$K$100,K33)=1),"OK","CHECK"))</x:f>
      </x:c>
    </x:row>
    <x:row r="34" ht="18" customHeight="1">
      <x:c r="I34" t="str">
        <x:f>IF(A34="","",G34*H34)</x:f>
      </x:c>
      <x:c r="J34" t="str">
        <x:f>IF(A34="","",IF(AND(G34&gt;=0,H34&gt;0),"OK","CHECK"))</x:f>
      </x:c>
      <x:c r="K34" t="str">
        <x:f>IF(A34="","", "RW-"&amp;A34&amp;"-L"&amp;TEXT(B34,"00")&amp;"-"&amp;TEXT(C34,"yyyymmdd")&amp;"-"&amp;D34&amp;"-"&amp;E34&amp;"-"&amp;F34)</x:f>
      </x:c>
      <x:c r="L34" t="str">
        <x:f>IF(A34="","",IF(AND(J34="OK",COUNTIF($K$5:$K$100,K34)=1),"OK","CHECK"))</x:f>
      </x:c>
    </x:row>
    <x:row r="35" ht="18" customHeight="1">
      <x:c r="I35" t="str">
        <x:f>IF(A35="","",G35*H35)</x:f>
      </x:c>
      <x:c r="J35" t="str">
        <x:f>IF(A35="","",IF(AND(G35&gt;=0,H35&gt;0),"OK","CHECK"))</x:f>
      </x:c>
      <x:c r="K35" t="str">
        <x:f>IF(A35="","", "RW-"&amp;A35&amp;"-L"&amp;TEXT(B35,"00")&amp;"-"&amp;TEXT(C35,"yyyymmdd")&amp;"-"&amp;D35&amp;"-"&amp;E35&amp;"-"&amp;F35)</x:f>
      </x:c>
      <x:c r="L35" t="str">
        <x:f>IF(A35="","",IF(AND(J35="OK",COUNTIF($K$5:$K$100,K35)=1),"OK","CHECK"))</x:f>
      </x:c>
    </x:row>
    <x:row r="36" ht="18" customHeight="1">
      <x:c r="I36" t="str">
        <x:f>IF(A36="","",G36*H36)</x:f>
      </x:c>
      <x:c r="J36" t="str">
        <x:f>IF(A36="","",IF(AND(G36&gt;=0,H36&gt;0),"OK","CHECK"))</x:f>
      </x:c>
      <x:c r="K36" t="str">
        <x:f>IF(A36="","", "RW-"&amp;A36&amp;"-L"&amp;TEXT(B36,"00")&amp;"-"&amp;TEXT(C36,"yyyymmdd")&amp;"-"&amp;D36&amp;"-"&amp;E36&amp;"-"&amp;F36)</x:f>
      </x:c>
      <x:c r="L36" t="str">
        <x:f>IF(A36="","",IF(AND(J36="OK",COUNTIF($K$5:$K$100,K36)=1),"OK","CHECK"))</x:f>
      </x:c>
    </x:row>
    <x:row r="37" ht="18" customHeight="1">
      <x:c r="I37" t="str">
        <x:f>IF(A37="","",G37*H37)</x:f>
      </x:c>
      <x:c r="J37" t="str">
        <x:f>IF(A37="","",IF(AND(G37&gt;=0,H37&gt;0),"OK","CHECK"))</x:f>
      </x:c>
      <x:c r="K37" t="str">
        <x:f>IF(A37="","", "RW-"&amp;A37&amp;"-L"&amp;TEXT(B37,"00")&amp;"-"&amp;TEXT(C37,"yyyymmdd")&amp;"-"&amp;D37&amp;"-"&amp;E37&amp;"-"&amp;F37)</x:f>
      </x:c>
      <x:c r="L37" t="str">
        <x:f>IF(A37="","",IF(AND(J37="OK",COUNTIF($K$5:$K$100,K37)=1),"OK","CHECK"))</x:f>
      </x:c>
    </x:row>
    <x:row r="38" ht="18" customHeight="1">
      <x:c r="I38" t="str">
        <x:f>IF(A38="","",G38*H38)</x:f>
      </x:c>
      <x:c r="J38" t="str">
        <x:f>IF(A38="","",IF(AND(G38&gt;=0,H38&gt;0),"OK","CHECK"))</x:f>
      </x:c>
      <x:c r="K38" t="str">
        <x:f>IF(A38="","", "RW-"&amp;A38&amp;"-L"&amp;TEXT(B38,"00")&amp;"-"&amp;TEXT(C38,"yyyymmdd")&amp;"-"&amp;D38&amp;"-"&amp;E38&amp;"-"&amp;F38)</x:f>
      </x:c>
      <x:c r="L38" t="str">
        <x:f>IF(A38="","",IF(AND(J38="OK",COUNTIF($K$5:$K$100,K38)=1),"OK","CHECK"))</x:f>
      </x:c>
    </x:row>
    <x:row r="39" ht="18" customHeight="1">
      <x:c r="I39" t="str">
        <x:f>IF(A39="","",G39*H39)</x:f>
      </x:c>
      <x:c r="J39" t="str">
        <x:f>IF(A39="","",IF(AND(G39&gt;=0,H39&gt;0),"OK","CHECK"))</x:f>
      </x:c>
      <x:c r="K39" t="str">
        <x:f>IF(A39="","", "RW-"&amp;A39&amp;"-L"&amp;TEXT(B39,"00")&amp;"-"&amp;TEXT(C39,"yyyymmdd")&amp;"-"&amp;D39&amp;"-"&amp;E39&amp;"-"&amp;F39)</x:f>
      </x:c>
      <x:c r="L39" t="str">
        <x:f>IF(A39="","",IF(AND(J39="OK",COUNTIF($K$5:$K$100,K39)=1),"OK","CHECK"))</x:f>
      </x:c>
    </x:row>
    <x:row r="40" ht="18" customHeight="1">
      <x:c r="I40" t="str">
        <x:f>IF(A40="","",G40*H40)</x:f>
      </x:c>
      <x:c r="J40" t="str">
        <x:f>IF(A40="","",IF(AND(G40&gt;=0,H40&gt;0),"OK","CHECK"))</x:f>
      </x:c>
      <x:c r="K40" t="str">
        <x:f>IF(A40="","", "RW-"&amp;A40&amp;"-L"&amp;TEXT(B40,"00")&amp;"-"&amp;TEXT(C40,"yyyymmdd")&amp;"-"&amp;D40&amp;"-"&amp;E40&amp;"-"&amp;F40)</x:f>
      </x:c>
      <x:c r="L40" t="str">
        <x:f>IF(A40="","",IF(AND(J40="OK",COUNTIF($K$5:$K$100,K40)=1),"OK","CHECK"))</x:f>
      </x:c>
    </x:row>
    <x:row r="41" ht="18" customHeight="1">
      <x:c r="I41" t="str">
        <x:f>IF(A41="","",G41*H41)</x:f>
      </x:c>
      <x:c r="J41" t="str">
        <x:f>IF(A41="","",IF(AND(G41&gt;=0,H41&gt;0),"OK","CHECK"))</x:f>
      </x:c>
      <x:c r="K41" t="str">
        <x:f>IF(A41="","", "RW-"&amp;A41&amp;"-L"&amp;TEXT(B41,"00")&amp;"-"&amp;TEXT(C41,"yyyymmdd")&amp;"-"&amp;D41&amp;"-"&amp;E41&amp;"-"&amp;F41)</x:f>
      </x:c>
      <x:c r="L41" t="str">
        <x:f>IF(A41="","",IF(AND(J41="OK",COUNTIF($K$5:$K$100,K41)=1),"OK","CHECK"))</x:f>
      </x:c>
    </x:row>
    <x:row r="42" ht="18" customHeight="1">
      <x:c r="I42" t="str">
        <x:f>IF(A42="","",G42*H42)</x:f>
      </x:c>
      <x:c r="J42" t="str">
        <x:f>IF(A42="","",IF(AND(G42&gt;=0,H42&gt;0),"OK","CHECK"))</x:f>
      </x:c>
      <x:c r="K42" t="str">
        <x:f>IF(A42="","", "RW-"&amp;A42&amp;"-L"&amp;TEXT(B42,"00")&amp;"-"&amp;TEXT(C42,"yyyymmdd")&amp;"-"&amp;D42&amp;"-"&amp;E42&amp;"-"&amp;F42)</x:f>
      </x:c>
      <x:c r="L42" t="str">
        <x:f>IF(A42="","",IF(AND(J42="OK",COUNTIF($K$5:$K$100,K42)=1),"OK","CHECK"))</x:f>
      </x:c>
    </x:row>
    <x:row r="43" ht="18" customHeight="1">
      <x:c r="I43" t="str">
        <x:f>IF(A43="","",G43*H43)</x:f>
      </x:c>
      <x:c r="J43" t="str">
        <x:f>IF(A43="","",IF(AND(G43&gt;=0,H43&gt;0),"OK","CHECK"))</x:f>
      </x:c>
      <x:c r="K43" t="str">
        <x:f>IF(A43="","", "RW-"&amp;A43&amp;"-L"&amp;TEXT(B43,"00")&amp;"-"&amp;TEXT(C43,"yyyymmdd")&amp;"-"&amp;D43&amp;"-"&amp;E43&amp;"-"&amp;F43)</x:f>
      </x:c>
      <x:c r="L43" t="str">
        <x:f>IF(A43="","",IF(AND(J43="OK",COUNTIF($K$5:$K$100,K43)=1),"OK","CHECK"))</x:f>
      </x:c>
    </x:row>
    <x:row r="44" ht="18" customHeight="1">
      <x:c r="I44" t="str">
        <x:f>IF(A44="","",G44*H44)</x:f>
      </x:c>
      <x:c r="J44" t="str">
        <x:f>IF(A44="","",IF(AND(G44&gt;=0,H44&gt;0),"OK","CHECK"))</x:f>
      </x:c>
      <x:c r="K44" t="str">
        <x:f>IF(A44="","", "RW-"&amp;A44&amp;"-L"&amp;TEXT(B44,"00")&amp;"-"&amp;TEXT(C44,"yyyymmdd")&amp;"-"&amp;D44&amp;"-"&amp;E44&amp;"-"&amp;F44)</x:f>
      </x:c>
      <x:c r="L44" t="str">
        <x:f>IF(A44="","",IF(AND(J44="OK",COUNTIF($K$5:$K$100,K44)=1),"OK","CHECK"))</x:f>
      </x:c>
    </x:row>
    <x:row r="45" ht="18" customHeight="1">
      <x:c r="I45" t="str">
        <x:f>IF(A45="","",G45*H45)</x:f>
      </x:c>
      <x:c r="J45" t="str">
        <x:f>IF(A45="","",IF(AND(G45&gt;=0,H45&gt;0),"OK","CHECK"))</x:f>
      </x:c>
      <x:c r="K45" t="str">
        <x:f>IF(A45="","", "RW-"&amp;A45&amp;"-L"&amp;TEXT(B45,"00")&amp;"-"&amp;TEXT(C45,"yyyymmdd")&amp;"-"&amp;D45&amp;"-"&amp;E45&amp;"-"&amp;F45)</x:f>
      </x:c>
      <x:c r="L45" t="str">
        <x:f>IF(A45="","",IF(AND(J45="OK",COUNTIF($K$5:$K$100,K45)=1),"OK","CHECK"))</x:f>
      </x:c>
    </x:row>
    <x:row r="46" ht="18" customHeight="1">
      <x:c r="I46" t="str">
        <x:f>IF(A46="","",G46*H46)</x:f>
      </x:c>
      <x:c r="J46" t="str">
        <x:f>IF(A46="","",IF(AND(G46&gt;=0,H46&gt;0),"OK","CHECK"))</x:f>
      </x:c>
      <x:c r="K46" t="str">
        <x:f>IF(A46="","", "RW-"&amp;A46&amp;"-L"&amp;TEXT(B46,"00")&amp;"-"&amp;TEXT(C46,"yyyymmdd")&amp;"-"&amp;D46&amp;"-"&amp;E46&amp;"-"&amp;F46)</x:f>
      </x:c>
      <x:c r="L46" t="str">
        <x:f>IF(A46="","",IF(AND(J46="OK",COUNTIF($K$5:$K$100,K46)=1),"OK","CHECK"))</x:f>
      </x:c>
    </x:row>
    <x:row r="47" ht="18" customHeight="1">
      <x:c r="I47" t="str">
        <x:f>IF(A47="","",G47*H47)</x:f>
      </x:c>
      <x:c r="J47" t="str">
        <x:f>IF(A47="","",IF(AND(G47&gt;=0,H47&gt;0),"OK","CHECK"))</x:f>
      </x:c>
      <x:c r="K47" t="str">
        <x:f>IF(A47="","", "RW-"&amp;A47&amp;"-L"&amp;TEXT(B47,"00")&amp;"-"&amp;TEXT(C47,"yyyymmdd")&amp;"-"&amp;D47&amp;"-"&amp;E47&amp;"-"&amp;F47)</x:f>
      </x:c>
      <x:c r="L47" t="str">
        <x:f>IF(A47="","",IF(AND(J47="OK",COUNTIF($K$5:$K$100,K47)=1),"OK","CHECK"))</x:f>
      </x:c>
    </x:row>
    <x:row r="48" ht="18" customHeight="1">
      <x:c r="I48" t="str">
        <x:f>IF(A48="","",G48*H48)</x:f>
      </x:c>
      <x:c r="J48" t="str">
        <x:f>IF(A48="","",IF(AND(G48&gt;=0,H48&gt;0),"OK","CHECK"))</x:f>
      </x:c>
      <x:c r="K48" t="str">
        <x:f>IF(A48="","", "RW-"&amp;A48&amp;"-L"&amp;TEXT(B48,"00")&amp;"-"&amp;TEXT(C48,"yyyymmdd")&amp;"-"&amp;D48&amp;"-"&amp;E48&amp;"-"&amp;F48)</x:f>
      </x:c>
      <x:c r="L48" t="str">
        <x:f>IF(A48="","",IF(AND(J48="OK",COUNTIF($K$5:$K$100,K48)=1),"OK","CHECK"))</x:f>
      </x:c>
    </x:row>
    <x:row r="49" ht="18" customHeight="1">
      <x:c r="I49" t="str">
        <x:f>IF(A49="","",G49*H49)</x:f>
      </x:c>
      <x:c r="J49" t="str">
        <x:f>IF(A49="","",IF(AND(G49&gt;=0,H49&gt;0),"OK","CHECK"))</x:f>
      </x:c>
      <x:c r="K49" t="str">
        <x:f>IF(A49="","", "RW-"&amp;A49&amp;"-L"&amp;TEXT(B49,"00")&amp;"-"&amp;TEXT(C49,"yyyymmdd")&amp;"-"&amp;D49&amp;"-"&amp;E49&amp;"-"&amp;F49)</x:f>
      </x:c>
      <x:c r="L49" t="str">
        <x:f>IF(A49="","",IF(AND(J49="OK",COUNTIF($K$5:$K$100,K49)=1),"OK","CHECK"))</x:f>
      </x:c>
    </x:row>
    <x:row r="50" ht="18" customHeight="1">
      <x:c r="I50" t="str">
        <x:f>IF(A50="","",G50*H50)</x:f>
      </x:c>
      <x:c r="J50" t="str">
        <x:f>IF(A50="","",IF(AND(G50&gt;=0,H50&gt;0),"OK","CHECK"))</x:f>
      </x:c>
      <x:c r="K50" t="str">
        <x:f>IF(A50="","", "RW-"&amp;A50&amp;"-L"&amp;TEXT(B50,"00")&amp;"-"&amp;TEXT(C50,"yyyymmdd")&amp;"-"&amp;D50&amp;"-"&amp;E50&amp;"-"&amp;F50)</x:f>
      </x:c>
      <x:c r="L50" t="str">
        <x:f>IF(A50="","",IF(AND(J50="OK",COUNTIF($K$5:$K$100,K50)=1),"OK","CHECK"))</x:f>
      </x:c>
    </x:row>
    <x:row r="51" ht="18" customHeight="1">
      <x:c r="I51" t="str">
        <x:f>IF(A51="","",G51*H51)</x:f>
      </x:c>
      <x:c r="J51" t="str">
        <x:f>IF(A51="","",IF(AND(G51&gt;=0,H51&gt;0),"OK","CHECK"))</x:f>
      </x:c>
      <x:c r="K51" t="str">
        <x:f>IF(A51="","", "RW-"&amp;A51&amp;"-L"&amp;TEXT(B51,"00")&amp;"-"&amp;TEXT(C51,"yyyymmdd")&amp;"-"&amp;D51&amp;"-"&amp;E51&amp;"-"&amp;F51)</x:f>
      </x:c>
      <x:c r="L51" t="str">
        <x:f>IF(A51="","",IF(AND(J51="OK",COUNTIF($K$5:$K$100,K51)=1),"OK","CHECK"))</x:f>
      </x:c>
    </x:row>
    <x:row r="52" ht="18" customHeight="1">
      <x:c r="I52" t="str">
        <x:f>IF(A52="","",G52*H52)</x:f>
      </x:c>
      <x:c r="J52" t="str">
        <x:f>IF(A52="","",IF(AND(G52&gt;=0,H52&gt;0),"OK","CHECK"))</x:f>
      </x:c>
      <x:c r="K52" t="str">
        <x:f>IF(A52="","", "RW-"&amp;A52&amp;"-L"&amp;TEXT(B52,"00")&amp;"-"&amp;TEXT(C52,"yyyymmdd")&amp;"-"&amp;D52&amp;"-"&amp;E52&amp;"-"&amp;F52)</x:f>
      </x:c>
      <x:c r="L52" t="str">
        <x:f>IF(A52="","",IF(AND(J52="OK",COUNTIF($K$5:$K$100,K52)=1),"OK","CHECK"))</x:f>
      </x:c>
    </x:row>
    <x:row r="53" ht="18" customHeight="1">
      <x:c r="I53" t="str">
        <x:f>IF(A53="","",G53*H53)</x:f>
      </x:c>
      <x:c r="J53" t="str">
        <x:f>IF(A53="","",IF(AND(G53&gt;=0,H53&gt;0),"OK","CHECK"))</x:f>
      </x:c>
      <x:c r="K53" t="str">
        <x:f>IF(A53="","", "RW-"&amp;A53&amp;"-L"&amp;TEXT(B53,"00")&amp;"-"&amp;TEXT(C53,"yyyymmdd")&amp;"-"&amp;D53&amp;"-"&amp;E53&amp;"-"&amp;F53)</x:f>
      </x:c>
      <x:c r="L53" t="str">
        <x:f>IF(A53="","",IF(AND(J53="OK",COUNTIF($K$5:$K$100,K53)=1),"OK","CHECK"))</x:f>
      </x:c>
    </x:row>
    <x:row r="54" ht="18" customHeight="1">
      <x:c r="I54" t="str">
        <x:f>IF(A54="","",G54*H54)</x:f>
      </x:c>
      <x:c r="J54" t="str">
        <x:f>IF(A54="","",IF(AND(G54&gt;=0,H54&gt;0),"OK","CHECK"))</x:f>
      </x:c>
      <x:c r="K54" t="str">
        <x:f>IF(A54="","", "RW-"&amp;A54&amp;"-L"&amp;TEXT(B54,"00")&amp;"-"&amp;TEXT(C54,"yyyymmdd")&amp;"-"&amp;D54&amp;"-"&amp;E54&amp;"-"&amp;F54)</x:f>
      </x:c>
      <x:c r="L54" t="str">
        <x:f>IF(A54="","",IF(AND(J54="OK",COUNTIF($K$5:$K$100,K54)=1),"OK","CHECK"))</x:f>
      </x:c>
    </x:row>
    <x:row r="55" ht="18" customHeight="1">
      <x:c r="I55" t="str">
        <x:f>IF(A55="","",G55*H55)</x:f>
      </x:c>
      <x:c r="J55" t="str">
        <x:f>IF(A55="","",IF(AND(G55&gt;=0,H55&gt;0),"OK","CHECK"))</x:f>
      </x:c>
      <x:c r="K55" t="str">
        <x:f>IF(A55="","", "RW-"&amp;A55&amp;"-L"&amp;TEXT(B55,"00")&amp;"-"&amp;TEXT(C55,"yyyymmdd")&amp;"-"&amp;D55&amp;"-"&amp;E55&amp;"-"&amp;F55)</x:f>
      </x:c>
      <x:c r="L55" t="str">
        <x:f>IF(A55="","",IF(AND(J55="OK",COUNTIF($K$5:$K$100,K55)=1),"OK","CHECK"))</x:f>
      </x:c>
    </x:row>
    <x:row r="56" ht="18" customHeight="1">
      <x:c r="I56" t="str">
        <x:f>IF(A56="","",G56*H56)</x:f>
      </x:c>
      <x:c r="J56" t="str">
        <x:f>IF(A56="","",IF(AND(G56&gt;=0,H56&gt;0),"OK","CHECK"))</x:f>
      </x:c>
      <x:c r="K56" t="str">
        <x:f>IF(A56="","", "RW-"&amp;A56&amp;"-L"&amp;TEXT(B56,"00")&amp;"-"&amp;TEXT(C56,"yyyymmdd")&amp;"-"&amp;D56&amp;"-"&amp;E56&amp;"-"&amp;F56)</x:f>
      </x:c>
      <x:c r="L56" t="str">
        <x:f>IF(A56="","",IF(AND(J56="OK",COUNTIF($K$5:$K$100,K56)=1),"OK","CHECK"))</x:f>
      </x:c>
    </x:row>
    <x:row r="57" ht="18" customHeight="1">
      <x:c r="I57" t="str">
        <x:f>IF(A57="","",G57*H57)</x:f>
      </x:c>
      <x:c r="J57" t="str">
        <x:f>IF(A57="","",IF(AND(G57&gt;=0,H57&gt;0),"OK","CHECK"))</x:f>
      </x:c>
      <x:c r="K57" t="str">
        <x:f>IF(A57="","", "RW-"&amp;A57&amp;"-L"&amp;TEXT(B57,"00")&amp;"-"&amp;TEXT(C57,"yyyymmdd")&amp;"-"&amp;D57&amp;"-"&amp;E57&amp;"-"&amp;F57)</x:f>
      </x:c>
      <x:c r="L57" t="str">
        <x:f>IF(A57="","",IF(AND(J57="OK",COUNTIF($K$5:$K$100,K57)=1),"OK","CHECK"))</x:f>
      </x:c>
    </x:row>
    <x:row r="58" ht="18" customHeight="1">
      <x:c r="I58" t="str">
        <x:f>IF(A58="","",G58*H58)</x:f>
      </x:c>
      <x:c r="J58" t="str">
        <x:f>IF(A58="","",IF(AND(G58&gt;=0,H58&gt;0),"OK","CHECK"))</x:f>
      </x:c>
      <x:c r="K58" t="str">
        <x:f>IF(A58="","", "RW-"&amp;A58&amp;"-L"&amp;TEXT(B58,"00")&amp;"-"&amp;TEXT(C58,"yyyymmdd")&amp;"-"&amp;D58&amp;"-"&amp;E58&amp;"-"&amp;F58)</x:f>
      </x:c>
      <x:c r="L58" t="str">
        <x:f>IF(A58="","",IF(AND(J58="OK",COUNTIF($K$5:$K$100,K58)=1),"OK","CHECK"))</x:f>
      </x:c>
    </x:row>
    <x:row r="59" ht="18" customHeight="1">
      <x:c r="I59" t="str">
        <x:f>IF(A59="","",G59*H59)</x:f>
      </x:c>
      <x:c r="J59" t="str">
        <x:f>IF(A59="","",IF(AND(G59&gt;=0,H59&gt;0),"OK","CHECK"))</x:f>
      </x:c>
      <x:c r="K59" t="str">
        <x:f>IF(A59="","", "RW-"&amp;A59&amp;"-L"&amp;TEXT(B59,"00")&amp;"-"&amp;TEXT(C59,"yyyymmdd")&amp;"-"&amp;D59&amp;"-"&amp;E59&amp;"-"&amp;F59)</x:f>
      </x:c>
      <x:c r="L59" t="str">
        <x:f>IF(A59="","",IF(AND(J59="OK",COUNTIF($K$5:$K$100,K59)=1),"OK","CHECK"))</x:f>
      </x:c>
    </x:row>
    <x:row r="60" ht="18" customHeight="1">
      <x:c r="I60" t="str">
        <x:f>IF(A60="","",G60*H60)</x:f>
      </x:c>
      <x:c r="J60" t="str">
        <x:f>IF(A60="","",IF(AND(G60&gt;=0,H60&gt;0),"OK","CHECK"))</x:f>
      </x:c>
      <x:c r="K60" t="str">
        <x:f>IF(A60="","", "RW-"&amp;A60&amp;"-L"&amp;TEXT(B60,"00")&amp;"-"&amp;TEXT(C60,"yyyymmdd")&amp;"-"&amp;D60&amp;"-"&amp;E60&amp;"-"&amp;F60)</x:f>
      </x:c>
      <x:c r="L60" t="str">
        <x:f>IF(A60="","",IF(AND(J60="OK",COUNTIF($K$5:$K$100,K60)=1),"OK","CHECK"))</x:f>
      </x:c>
    </x:row>
    <x:row r="61" ht="18" customHeight="1">
      <x:c r="I61" t="str">
        <x:f>IF(A61="","",G61*H61)</x:f>
      </x:c>
      <x:c r="J61" t="str">
        <x:f>IF(A61="","",IF(AND(G61&gt;=0,H61&gt;0),"OK","CHECK"))</x:f>
      </x:c>
      <x:c r="K61" t="str">
        <x:f>IF(A61="","", "RW-"&amp;A61&amp;"-L"&amp;TEXT(B61,"00")&amp;"-"&amp;TEXT(C61,"yyyymmdd")&amp;"-"&amp;D61&amp;"-"&amp;E61&amp;"-"&amp;F61)</x:f>
      </x:c>
      <x:c r="L61" t="str">
        <x:f>IF(A61="","",IF(AND(J61="OK",COUNTIF($K$5:$K$100,K61)=1),"OK","CHECK"))</x:f>
      </x:c>
    </x:row>
    <x:row r="62" ht="18" customHeight="1">
      <x:c r="I62" t="str">
        <x:f>IF(A62="","",G62*H62)</x:f>
      </x:c>
      <x:c r="J62" t="str">
        <x:f>IF(A62="","",IF(AND(G62&gt;=0,H62&gt;0),"OK","CHECK"))</x:f>
      </x:c>
      <x:c r="K62" t="str">
        <x:f>IF(A62="","", "RW-"&amp;A62&amp;"-L"&amp;TEXT(B62,"00")&amp;"-"&amp;TEXT(C62,"yyyymmdd")&amp;"-"&amp;D62&amp;"-"&amp;E62&amp;"-"&amp;F62)</x:f>
      </x:c>
      <x:c r="L62" t="str">
        <x:f>IF(A62="","",IF(AND(J62="OK",COUNTIF($K$5:$K$100,K62)=1),"OK","CHECK"))</x:f>
      </x:c>
    </x:row>
    <x:row r="63" ht="18" customHeight="1">
      <x:c r="I63" t="str">
        <x:f>IF(A63="","",G63*H63)</x:f>
      </x:c>
      <x:c r="J63" t="str">
        <x:f>IF(A63="","",IF(AND(G63&gt;=0,H63&gt;0),"OK","CHECK"))</x:f>
      </x:c>
      <x:c r="K63" t="str">
        <x:f>IF(A63="","", "RW-"&amp;A63&amp;"-L"&amp;TEXT(B63,"00")&amp;"-"&amp;TEXT(C63,"yyyymmdd")&amp;"-"&amp;D63&amp;"-"&amp;E63&amp;"-"&amp;F63)</x:f>
      </x:c>
      <x:c r="L63" t="str">
        <x:f>IF(A63="","",IF(AND(J63="OK",COUNTIF($K$5:$K$100,K63)=1),"OK","CHECK"))</x:f>
      </x:c>
    </x:row>
    <x:row r="64" ht="18" customHeight="1">
      <x:c r="I64" t="str">
        <x:f>IF(A64="","",G64*H64)</x:f>
      </x:c>
      <x:c r="J64" t="str">
        <x:f>IF(A64="","",IF(AND(G64&gt;=0,H64&gt;0),"OK","CHECK"))</x:f>
      </x:c>
      <x:c r="K64" t="str">
        <x:f>IF(A64="","", "RW-"&amp;A64&amp;"-L"&amp;TEXT(B64,"00")&amp;"-"&amp;TEXT(C64,"yyyymmdd")&amp;"-"&amp;D64&amp;"-"&amp;E64&amp;"-"&amp;F64)</x:f>
      </x:c>
      <x:c r="L64" t="str">
        <x:f>IF(A64="","",IF(AND(J64="OK",COUNTIF($K$5:$K$100,K64)=1),"OK","CHECK"))</x:f>
      </x:c>
    </x:row>
    <x:row r="65" ht="18" customHeight="1">
      <x:c r="I65" t="str">
        <x:f>IF(A65="","",G65*H65)</x:f>
      </x:c>
      <x:c r="J65" t="str">
        <x:f>IF(A65="","",IF(AND(G65&gt;=0,H65&gt;0),"OK","CHECK"))</x:f>
      </x:c>
      <x:c r="K65" t="str">
        <x:f>IF(A65="","", "RW-"&amp;A65&amp;"-L"&amp;TEXT(B65,"00")&amp;"-"&amp;TEXT(C65,"yyyymmdd")&amp;"-"&amp;D65&amp;"-"&amp;E65&amp;"-"&amp;F65)</x:f>
      </x:c>
      <x:c r="L65" t="str">
        <x:f>IF(A65="","",IF(AND(J65="OK",COUNTIF($K$5:$K$100,K65)=1),"OK","CHECK"))</x:f>
      </x:c>
    </x:row>
    <x:row r="66" ht="18" customHeight="1">
      <x:c r="I66" t="str">
        <x:f>IF(A66="","",G66*H66)</x:f>
      </x:c>
      <x:c r="J66" t="str">
        <x:f>IF(A66="","",IF(AND(G66&gt;=0,H66&gt;0),"OK","CHECK"))</x:f>
      </x:c>
      <x:c r="K66" t="str">
        <x:f>IF(A66="","", "RW-"&amp;A66&amp;"-L"&amp;TEXT(B66,"00")&amp;"-"&amp;TEXT(C66,"yyyymmdd")&amp;"-"&amp;D66&amp;"-"&amp;E66&amp;"-"&amp;F66)</x:f>
      </x:c>
      <x:c r="L66" t="str">
        <x:f>IF(A66="","",IF(AND(J66="OK",COUNTIF($K$5:$K$100,K66)=1),"OK","CHECK"))</x:f>
      </x:c>
    </x:row>
    <x:row r="67" ht="18" customHeight="1">
      <x:c r="I67" t="str">
        <x:f>IF(A67="","",G67*H67)</x:f>
      </x:c>
      <x:c r="J67" t="str">
        <x:f>IF(A67="","",IF(AND(G67&gt;=0,H67&gt;0),"OK","CHECK"))</x:f>
      </x:c>
      <x:c r="K67" t="str">
        <x:f>IF(A67="","", "RW-"&amp;A67&amp;"-L"&amp;TEXT(B67,"00")&amp;"-"&amp;TEXT(C67,"yyyymmdd")&amp;"-"&amp;D67&amp;"-"&amp;E67&amp;"-"&amp;F67)</x:f>
      </x:c>
      <x:c r="L67" t="str">
        <x:f>IF(A67="","",IF(AND(J67="OK",COUNTIF($K$5:$K$100,K67)=1),"OK","CHECK"))</x:f>
      </x:c>
    </x:row>
    <x:row r="68" ht="18" customHeight="1">
      <x:c r="I68" t="str">
        <x:f>IF(A68="","",G68*H68)</x:f>
      </x:c>
      <x:c r="J68" t="str">
        <x:f>IF(A68="","",IF(AND(G68&gt;=0,H68&gt;0),"OK","CHECK"))</x:f>
      </x:c>
      <x:c r="K68" t="str">
        <x:f>IF(A68="","", "RW-"&amp;A68&amp;"-L"&amp;TEXT(B68,"00")&amp;"-"&amp;TEXT(C68,"yyyymmdd")&amp;"-"&amp;D68&amp;"-"&amp;E68&amp;"-"&amp;F68)</x:f>
      </x:c>
      <x:c r="L68" t="str">
        <x:f>IF(A68="","",IF(AND(J68="OK",COUNTIF($K$5:$K$100,K68)=1),"OK","CHECK"))</x:f>
      </x:c>
    </x:row>
    <x:row r="69" ht="18" customHeight="1">
      <x:c r="I69" t="str">
        <x:f>IF(A69="","",G69*H69)</x:f>
      </x:c>
      <x:c r="J69" t="str">
        <x:f>IF(A69="","",IF(AND(G69&gt;=0,H69&gt;0),"OK","CHECK"))</x:f>
      </x:c>
      <x:c r="K69" t="str">
        <x:f>IF(A69="","", "RW-"&amp;A69&amp;"-L"&amp;TEXT(B69,"00")&amp;"-"&amp;TEXT(C69,"yyyymmdd")&amp;"-"&amp;D69&amp;"-"&amp;E69&amp;"-"&amp;F69)</x:f>
      </x:c>
      <x:c r="L69" t="str">
        <x:f>IF(A69="","",IF(AND(J69="OK",COUNTIF($K$5:$K$100,K69)=1),"OK","CHECK"))</x:f>
      </x:c>
    </x:row>
    <x:row r="70" ht="18" customHeight="1">
      <x:c r="I70" t="str">
        <x:f>IF(A70="","",G70*H70)</x:f>
      </x:c>
      <x:c r="J70" t="str">
        <x:f>IF(A70="","",IF(AND(G70&gt;=0,H70&gt;0),"OK","CHECK"))</x:f>
      </x:c>
      <x:c r="K70" t="str">
        <x:f>IF(A70="","", "RW-"&amp;A70&amp;"-L"&amp;TEXT(B70,"00")&amp;"-"&amp;TEXT(C70,"yyyymmdd")&amp;"-"&amp;D70&amp;"-"&amp;E70&amp;"-"&amp;F70)</x:f>
      </x:c>
      <x:c r="L70" t="str">
        <x:f>IF(A70="","",IF(AND(J70="OK",COUNTIF($K$5:$K$100,K70)=1),"OK","CHECK"))</x:f>
      </x:c>
    </x:row>
    <x:row r="71" ht="18" customHeight="1">
      <x:c r="I71" t="str">
        <x:f>IF(A71="","",G71*H71)</x:f>
      </x:c>
      <x:c r="J71" t="str">
        <x:f>IF(A71="","",IF(AND(G71&gt;=0,H71&gt;0),"OK","CHECK"))</x:f>
      </x:c>
      <x:c r="K71" t="str">
        <x:f>IF(A71="","", "RW-"&amp;A71&amp;"-L"&amp;TEXT(B71,"00")&amp;"-"&amp;TEXT(C71,"yyyymmdd")&amp;"-"&amp;D71&amp;"-"&amp;E71&amp;"-"&amp;F71)</x:f>
      </x:c>
      <x:c r="L71" t="str">
        <x:f>IF(A71="","",IF(AND(J71="OK",COUNTIF($K$5:$K$100,K71)=1),"OK","CHECK"))</x:f>
      </x:c>
    </x:row>
    <x:row r="72" ht="18" customHeight="1">
      <x:c r="I72" t="str">
        <x:f>IF(A72="","",G72*H72)</x:f>
      </x:c>
      <x:c r="J72" t="str">
        <x:f>IF(A72="","",IF(AND(G72&gt;=0,H72&gt;0),"OK","CHECK"))</x:f>
      </x:c>
      <x:c r="K72" t="str">
        <x:f>IF(A72="","", "RW-"&amp;A72&amp;"-L"&amp;TEXT(B72,"00")&amp;"-"&amp;TEXT(C72,"yyyymmdd")&amp;"-"&amp;D72&amp;"-"&amp;E72&amp;"-"&amp;F72)</x:f>
      </x:c>
      <x:c r="L72" t="str">
        <x:f>IF(A72="","",IF(AND(J72="OK",COUNTIF($K$5:$K$100,K72)=1),"OK","CHECK"))</x:f>
      </x:c>
    </x:row>
    <x:row r="73" ht="18" customHeight="1">
      <x:c r="I73" t="str">
        <x:f>IF(A73="","",G73*H73)</x:f>
      </x:c>
      <x:c r="J73" t="str">
        <x:f>IF(A73="","",IF(AND(G73&gt;=0,H73&gt;0),"OK","CHECK"))</x:f>
      </x:c>
      <x:c r="K73" t="str">
        <x:f>IF(A73="","", "RW-"&amp;A73&amp;"-L"&amp;TEXT(B73,"00")&amp;"-"&amp;TEXT(C73,"yyyymmdd")&amp;"-"&amp;D73&amp;"-"&amp;E73&amp;"-"&amp;F73)</x:f>
      </x:c>
      <x:c r="L73" t="str">
        <x:f>IF(A73="","",IF(AND(J73="OK",COUNTIF($K$5:$K$100,K73)=1),"OK","CHECK"))</x:f>
      </x:c>
    </x:row>
    <x:row r="74" ht="18" customHeight="1">
      <x:c r="I74" t="str">
        <x:f>IF(A74="","",G74*H74)</x:f>
      </x:c>
      <x:c r="J74" t="str">
        <x:f>IF(A74="","",IF(AND(G74&gt;=0,H74&gt;0),"OK","CHECK"))</x:f>
      </x:c>
      <x:c r="K74" t="str">
        <x:f>IF(A74="","", "RW-"&amp;A74&amp;"-L"&amp;TEXT(B74,"00")&amp;"-"&amp;TEXT(C74,"yyyymmdd")&amp;"-"&amp;D74&amp;"-"&amp;E74&amp;"-"&amp;F74)</x:f>
      </x:c>
      <x:c r="L74" t="str">
        <x:f>IF(A74="","",IF(AND(J74="OK",COUNTIF($K$5:$K$100,K74)=1),"OK","CHECK"))</x:f>
      </x:c>
    </x:row>
    <x:row r="75" ht="18" customHeight="1">
      <x:c r="I75" t="str">
        <x:f>IF(A75="","",G75*H75)</x:f>
      </x:c>
      <x:c r="J75" t="str">
        <x:f>IF(A75="","",IF(AND(G75&gt;=0,H75&gt;0),"OK","CHECK"))</x:f>
      </x:c>
      <x:c r="K75" t="str">
        <x:f>IF(A75="","", "RW-"&amp;A75&amp;"-L"&amp;TEXT(B75,"00")&amp;"-"&amp;TEXT(C75,"yyyymmdd")&amp;"-"&amp;D75&amp;"-"&amp;E75&amp;"-"&amp;F75)</x:f>
      </x:c>
      <x:c r="L75" t="str">
        <x:f>IF(A75="","",IF(AND(J75="OK",COUNTIF($K$5:$K$100,K75)=1),"OK","CHECK"))</x:f>
      </x:c>
    </x:row>
    <x:row r="76" ht="18" customHeight="1">
      <x:c r="I76" t="str">
        <x:f>IF(A76="","",G76*H76)</x:f>
      </x:c>
      <x:c r="J76" t="str">
        <x:f>IF(A76="","",IF(AND(G76&gt;=0,H76&gt;0),"OK","CHECK"))</x:f>
      </x:c>
      <x:c r="K76" t="str">
        <x:f>IF(A76="","", "RW-"&amp;A76&amp;"-L"&amp;TEXT(B76,"00")&amp;"-"&amp;TEXT(C76,"yyyymmdd")&amp;"-"&amp;D76&amp;"-"&amp;E76&amp;"-"&amp;F76)</x:f>
      </x:c>
      <x:c r="L76" t="str">
        <x:f>IF(A76="","",IF(AND(J76="OK",COUNTIF($K$5:$K$100,K76)=1),"OK","CHECK"))</x:f>
      </x:c>
    </x:row>
    <x:row r="77" ht="18" customHeight="1">
      <x:c r="I77" t="str">
        <x:f>IF(A77="","",G77*H77)</x:f>
      </x:c>
      <x:c r="J77" t="str">
        <x:f>IF(A77="","",IF(AND(G77&gt;=0,H77&gt;0),"OK","CHECK"))</x:f>
      </x:c>
      <x:c r="K77" t="str">
        <x:f>IF(A77="","", "RW-"&amp;A77&amp;"-L"&amp;TEXT(B77,"00")&amp;"-"&amp;TEXT(C77,"yyyymmdd")&amp;"-"&amp;D77&amp;"-"&amp;E77&amp;"-"&amp;F77)</x:f>
      </x:c>
      <x:c r="L77" t="str">
        <x:f>IF(A77="","",IF(AND(J77="OK",COUNTIF($K$5:$K$100,K77)=1),"OK","CHECK"))</x:f>
      </x:c>
    </x:row>
    <x:row r="78" ht="18" customHeight="1">
      <x:c r="I78" t="str">
        <x:f>IF(A78="","",G78*H78)</x:f>
      </x:c>
      <x:c r="J78" t="str">
        <x:f>IF(A78="","",IF(AND(G78&gt;=0,H78&gt;0),"OK","CHECK"))</x:f>
      </x:c>
      <x:c r="K78" t="str">
        <x:f>IF(A78="","", "RW-"&amp;A78&amp;"-L"&amp;TEXT(B78,"00")&amp;"-"&amp;TEXT(C78,"yyyymmdd")&amp;"-"&amp;D78&amp;"-"&amp;E78&amp;"-"&amp;F78)</x:f>
      </x:c>
      <x:c r="L78" t="str">
        <x:f>IF(A78="","",IF(AND(J78="OK",COUNTIF($K$5:$K$100,K78)=1),"OK","CHECK"))</x:f>
      </x:c>
    </x:row>
    <x:row r="79" ht="18" customHeight="1">
      <x:c r="I79" t="str">
        <x:f>IF(A79="","",G79*H79)</x:f>
      </x:c>
      <x:c r="J79" t="str">
        <x:f>IF(A79="","",IF(AND(G79&gt;=0,H79&gt;0),"OK","CHECK"))</x:f>
      </x:c>
      <x:c r="K79" t="str">
        <x:f>IF(A79="","", "RW-"&amp;A79&amp;"-L"&amp;TEXT(B79,"00")&amp;"-"&amp;TEXT(C79,"yyyymmdd")&amp;"-"&amp;D79&amp;"-"&amp;E79&amp;"-"&amp;F79)</x:f>
      </x:c>
      <x:c r="L79" t="str">
        <x:f>IF(A79="","",IF(AND(J79="OK",COUNTIF($K$5:$K$100,K79)=1),"OK","CHECK"))</x:f>
      </x:c>
    </x:row>
    <x:row r="80" ht="18" customHeight="1">
      <x:c r="I80" t="str">
        <x:f>IF(A80="","",G80*H80)</x:f>
      </x:c>
      <x:c r="J80" t="str">
        <x:f>IF(A80="","",IF(AND(G80&gt;=0,H80&gt;0),"OK","CHECK"))</x:f>
      </x:c>
      <x:c r="K80" t="str">
        <x:f>IF(A80="","", "RW-"&amp;A80&amp;"-L"&amp;TEXT(B80,"00")&amp;"-"&amp;TEXT(C80,"yyyymmdd")&amp;"-"&amp;D80&amp;"-"&amp;E80&amp;"-"&amp;F80)</x:f>
      </x:c>
      <x:c r="L80" t="str">
        <x:f>IF(A80="","",IF(AND(J80="OK",COUNTIF($K$5:$K$100,K80)=1),"OK","CHECK"))</x:f>
      </x:c>
    </x:row>
    <x:row r="81" ht="18" customHeight="1">
      <x:c r="I81" t="str">
        <x:f>IF(A81="","",G81*H81)</x:f>
      </x:c>
      <x:c r="J81" t="str">
        <x:f>IF(A81="","",IF(AND(G81&gt;=0,H81&gt;0),"OK","CHECK"))</x:f>
      </x:c>
      <x:c r="K81" t="str">
        <x:f>IF(A81="","", "RW-"&amp;A81&amp;"-L"&amp;TEXT(B81,"00")&amp;"-"&amp;TEXT(C81,"yyyymmdd")&amp;"-"&amp;D81&amp;"-"&amp;E81&amp;"-"&amp;F81)</x:f>
      </x:c>
      <x:c r="L81" t="str">
        <x:f>IF(A81="","",IF(AND(J81="OK",COUNTIF($K$5:$K$100,K81)=1),"OK","CHECK"))</x:f>
      </x:c>
    </x:row>
    <x:row r="82" ht="18" customHeight="1">
      <x:c r="I82" t="str">
        <x:f>IF(A82="","",G82*H82)</x:f>
      </x:c>
      <x:c r="J82" t="str">
        <x:f>IF(A82="","",IF(AND(G82&gt;=0,H82&gt;0),"OK","CHECK"))</x:f>
      </x:c>
      <x:c r="K82" t="str">
        <x:f>IF(A82="","", "RW-"&amp;A82&amp;"-L"&amp;TEXT(B82,"00")&amp;"-"&amp;TEXT(C82,"yyyymmdd")&amp;"-"&amp;D82&amp;"-"&amp;E82&amp;"-"&amp;F82)</x:f>
      </x:c>
      <x:c r="L82" t="str">
        <x:f>IF(A82="","",IF(AND(J82="OK",COUNTIF($K$5:$K$100,K82)=1),"OK","CHECK"))</x:f>
      </x:c>
    </x:row>
    <x:row r="83" ht="18" customHeight="1">
      <x:c r="I83" t="str">
        <x:f>IF(A83="","",G83*H83)</x:f>
      </x:c>
      <x:c r="J83" t="str">
        <x:f>IF(A83="","",IF(AND(G83&gt;=0,H83&gt;0),"OK","CHECK"))</x:f>
      </x:c>
      <x:c r="K83" t="str">
        <x:f>IF(A83="","", "RW-"&amp;A83&amp;"-L"&amp;TEXT(B83,"00")&amp;"-"&amp;TEXT(C83,"yyyymmdd")&amp;"-"&amp;D83&amp;"-"&amp;E83&amp;"-"&amp;F83)</x:f>
      </x:c>
      <x:c r="L83" t="str">
        <x:f>IF(A83="","",IF(AND(J83="OK",COUNTIF($K$5:$K$100,K83)=1),"OK","CHECK"))</x:f>
      </x:c>
    </x:row>
    <x:row r="84" ht="18" customHeight="1">
      <x:c r="I84" t="str">
        <x:f>IF(A84="","",G84*H84)</x:f>
      </x:c>
      <x:c r="J84" t="str">
        <x:f>IF(A84="","",IF(AND(G84&gt;=0,H84&gt;0),"OK","CHECK"))</x:f>
      </x:c>
      <x:c r="K84" t="str">
        <x:f>IF(A84="","", "RW-"&amp;A84&amp;"-L"&amp;TEXT(B84,"00")&amp;"-"&amp;TEXT(C84,"yyyymmdd")&amp;"-"&amp;D84&amp;"-"&amp;E84&amp;"-"&amp;F84)</x:f>
      </x:c>
      <x:c r="L84" t="str">
        <x:f>IF(A84="","",IF(AND(J84="OK",COUNTIF($K$5:$K$100,K84)=1),"OK","CHECK"))</x:f>
      </x:c>
    </x:row>
    <x:row r="85" ht="18" customHeight="1">
      <x:c r="I85" t="str">
        <x:f>IF(A85="","",G85*H85)</x:f>
      </x:c>
      <x:c r="J85" t="str">
        <x:f>IF(A85="","",IF(AND(G85&gt;=0,H85&gt;0),"OK","CHECK"))</x:f>
      </x:c>
      <x:c r="K85" t="str">
        <x:f>IF(A85="","", "RW-"&amp;A85&amp;"-L"&amp;TEXT(B85,"00")&amp;"-"&amp;TEXT(C85,"yyyymmdd")&amp;"-"&amp;D85&amp;"-"&amp;E85&amp;"-"&amp;F85)</x:f>
      </x:c>
      <x:c r="L85" t="str">
        <x:f>IF(A85="","",IF(AND(J85="OK",COUNTIF($K$5:$K$100,K85)=1),"OK","CHECK"))</x:f>
      </x:c>
    </x:row>
    <x:row r="86" ht="18" customHeight="1">
      <x:c r="I86" t="str">
        <x:f>IF(A86="","",G86*H86)</x:f>
      </x:c>
      <x:c r="J86" t="str">
        <x:f>IF(A86="","",IF(AND(G86&gt;=0,H86&gt;0),"OK","CHECK"))</x:f>
      </x:c>
      <x:c r="K86" t="str">
        <x:f>IF(A86="","", "RW-"&amp;A86&amp;"-L"&amp;TEXT(B86,"00")&amp;"-"&amp;TEXT(C86,"yyyymmdd")&amp;"-"&amp;D86&amp;"-"&amp;E86&amp;"-"&amp;F86)</x:f>
      </x:c>
      <x:c r="L86" t="str">
        <x:f>IF(A86="","",IF(AND(J86="OK",COUNTIF($K$5:$K$100,K86)=1),"OK","CHECK"))</x:f>
      </x:c>
    </x:row>
    <x:row r="87" ht="18" customHeight="1">
      <x:c r="I87" t="str">
        <x:f>IF(A87="","",G87*H87)</x:f>
      </x:c>
      <x:c r="J87" t="str">
        <x:f>IF(A87="","",IF(AND(G87&gt;=0,H87&gt;0),"OK","CHECK"))</x:f>
      </x:c>
      <x:c r="K87" t="str">
        <x:f>IF(A87="","", "RW-"&amp;A87&amp;"-L"&amp;TEXT(B87,"00")&amp;"-"&amp;TEXT(C87,"yyyymmdd")&amp;"-"&amp;D87&amp;"-"&amp;E87&amp;"-"&amp;F87)</x:f>
      </x:c>
      <x:c r="L87" t="str">
        <x:f>IF(A87="","",IF(AND(J87="OK",COUNTIF($K$5:$K$100,K87)=1),"OK","CHECK"))</x:f>
      </x:c>
    </x:row>
    <x:row r="88" ht="18" customHeight="1">
      <x:c r="I88" t="str">
        <x:f>IF(A88="","",G88*H88)</x:f>
      </x:c>
      <x:c r="J88" t="str">
        <x:f>IF(A88="","",IF(AND(G88&gt;=0,H88&gt;0),"OK","CHECK"))</x:f>
      </x:c>
      <x:c r="K88" t="str">
        <x:f>IF(A88="","", "RW-"&amp;A88&amp;"-L"&amp;TEXT(B88,"00")&amp;"-"&amp;TEXT(C88,"yyyymmdd")&amp;"-"&amp;D88&amp;"-"&amp;E88&amp;"-"&amp;F88)</x:f>
      </x:c>
      <x:c r="L88" t="str">
        <x:f>IF(A88="","",IF(AND(J88="OK",COUNTIF($K$5:$K$100,K88)=1),"OK","CHECK"))</x:f>
      </x:c>
    </x:row>
    <x:row r="89" ht="18" customHeight="1">
      <x:c r="I89" t="str">
        <x:f>IF(A89="","",G89*H89)</x:f>
      </x:c>
      <x:c r="J89" t="str">
        <x:f>IF(A89="","",IF(AND(G89&gt;=0,H89&gt;0),"OK","CHECK"))</x:f>
      </x:c>
      <x:c r="K89" t="str">
        <x:f>IF(A89="","", "RW-"&amp;A89&amp;"-L"&amp;TEXT(B89,"00")&amp;"-"&amp;TEXT(C89,"yyyymmdd")&amp;"-"&amp;D89&amp;"-"&amp;E89&amp;"-"&amp;F89)</x:f>
      </x:c>
      <x:c r="L89" t="str">
        <x:f>IF(A89="","",IF(AND(J89="OK",COUNTIF($K$5:$K$100,K89)=1),"OK","CHECK"))</x:f>
      </x:c>
    </x:row>
    <x:row r="90" ht="18" customHeight="1">
      <x:c r="I90" t="str">
        <x:f>IF(A90="","",G90*H90)</x:f>
      </x:c>
      <x:c r="J90" t="str">
        <x:f>IF(A90="","",IF(AND(G90&gt;=0,H90&gt;0),"OK","CHECK"))</x:f>
      </x:c>
      <x:c r="K90" t="str">
        <x:f>IF(A90="","", "RW-"&amp;A90&amp;"-L"&amp;TEXT(B90,"00")&amp;"-"&amp;TEXT(C90,"yyyymmdd")&amp;"-"&amp;D90&amp;"-"&amp;E90&amp;"-"&amp;F90)</x:f>
      </x:c>
      <x:c r="L90" t="str">
        <x:f>IF(A90="","",IF(AND(J90="OK",COUNTIF($K$5:$K$100,K90)=1),"OK","CHECK"))</x:f>
      </x:c>
    </x:row>
    <x:row r="91" ht="18" customHeight="1">
      <x:c r="I91" t="str">
        <x:f>IF(A91="","",G91*H91)</x:f>
      </x:c>
      <x:c r="J91" t="str">
        <x:f>IF(A91="","",IF(AND(G91&gt;=0,H91&gt;0),"OK","CHECK"))</x:f>
      </x:c>
      <x:c r="K91" t="str">
        <x:f>IF(A91="","", "RW-"&amp;A91&amp;"-L"&amp;TEXT(B91,"00")&amp;"-"&amp;TEXT(C91,"yyyymmdd")&amp;"-"&amp;D91&amp;"-"&amp;E91&amp;"-"&amp;F91)</x:f>
      </x:c>
      <x:c r="L91" t="str">
        <x:f>IF(A91="","",IF(AND(J91="OK",COUNTIF($K$5:$K$100,K91)=1),"OK","CHECK"))</x:f>
      </x:c>
    </x:row>
    <x:row r="92" ht="18" customHeight="1">
      <x:c r="I92" t="str">
        <x:f>IF(A92="","",G92*H92)</x:f>
      </x:c>
      <x:c r="J92" t="str">
        <x:f>IF(A92="","",IF(AND(G92&gt;=0,H92&gt;0),"OK","CHECK"))</x:f>
      </x:c>
      <x:c r="K92" t="str">
        <x:f>IF(A92="","", "RW-"&amp;A92&amp;"-L"&amp;TEXT(B92,"00")&amp;"-"&amp;TEXT(C92,"yyyymmdd")&amp;"-"&amp;D92&amp;"-"&amp;E92&amp;"-"&amp;F92)</x:f>
      </x:c>
      <x:c r="L92" t="str">
        <x:f>IF(A92="","",IF(AND(J92="OK",COUNTIF($K$5:$K$100,K92)=1),"OK","CHECK"))</x:f>
      </x:c>
    </x:row>
    <x:row r="93" ht="18" customHeight="1">
      <x:c r="I93" t="str">
        <x:f>IF(A93="","",G93*H93)</x:f>
      </x:c>
      <x:c r="J93" t="str">
        <x:f>IF(A93="","",IF(AND(G93&gt;=0,H93&gt;0),"OK","CHECK"))</x:f>
      </x:c>
      <x:c r="K93" t="str">
        <x:f>IF(A93="","", "RW-"&amp;A93&amp;"-L"&amp;TEXT(B93,"00")&amp;"-"&amp;TEXT(C93,"yyyymmdd")&amp;"-"&amp;D93&amp;"-"&amp;E93&amp;"-"&amp;F93)</x:f>
      </x:c>
      <x:c r="L93" t="str">
        <x:f>IF(A93="","",IF(AND(J93="OK",COUNTIF($K$5:$K$100,K93)=1),"OK","CHECK"))</x:f>
      </x:c>
    </x:row>
    <x:row r="94" ht="18" customHeight="1">
      <x:c r="I94" t="str">
        <x:f>IF(A94="","",G94*H94)</x:f>
      </x:c>
      <x:c r="J94" t="str">
        <x:f>IF(A94="","",IF(AND(G94&gt;=0,H94&gt;0),"OK","CHECK"))</x:f>
      </x:c>
      <x:c r="K94" t="str">
        <x:f>IF(A94="","", "RW-"&amp;A94&amp;"-L"&amp;TEXT(B94,"00")&amp;"-"&amp;TEXT(C94,"yyyymmdd")&amp;"-"&amp;D94&amp;"-"&amp;E94&amp;"-"&amp;F94)</x:f>
      </x:c>
      <x:c r="L94" t="str">
        <x:f>IF(A94="","",IF(AND(J94="OK",COUNTIF($K$5:$K$100,K94)=1),"OK","CHECK"))</x:f>
      </x:c>
    </x:row>
    <x:row r="95" ht="18" customHeight="1">
      <x:c r="I95" t="str">
        <x:f>IF(A95="","",G95*H95)</x:f>
      </x:c>
      <x:c r="J95" t="str">
        <x:f>IF(A95="","",IF(AND(G95&gt;=0,H95&gt;0),"OK","CHECK"))</x:f>
      </x:c>
      <x:c r="K95" t="str">
        <x:f>IF(A95="","", "RW-"&amp;A95&amp;"-L"&amp;TEXT(B95,"00")&amp;"-"&amp;TEXT(C95,"yyyymmdd")&amp;"-"&amp;D95&amp;"-"&amp;E95&amp;"-"&amp;F95)</x:f>
      </x:c>
      <x:c r="L95" t="str">
        <x:f>IF(A95="","",IF(AND(J95="OK",COUNTIF($K$5:$K$100,K95)=1),"OK","CHECK"))</x:f>
      </x:c>
    </x:row>
    <x:row r="96" ht="18" customHeight="1">
      <x:c r="I96" t="str">
        <x:f>IF(A96="","",G96*H96)</x:f>
      </x:c>
      <x:c r="J96" t="str">
        <x:f>IF(A96="","",IF(AND(G96&gt;=0,H96&gt;0),"OK","CHECK"))</x:f>
      </x:c>
      <x:c r="K96" t="str">
        <x:f>IF(A96="","", "RW-"&amp;A96&amp;"-L"&amp;TEXT(B96,"00")&amp;"-"&amp;TEXT(C96,"yyyymmdd")&amp;"-"&amp;D96&amp;"-"&amp;E96&amp;"-"&amp;F96)</x:f>
      </x:c>
      <x:c r="L96" t="str">
        <x:f>IF(A96="","",IF(AND(J96="OK",COUNTIF($K$5:$K$100,K96)=1),"OK","CHECK"))</x:f>
      </x:c>
    </x:row>
    <x:row r="97" ht="18" customHeight="1">
      <x:c r="I97" t="str">
        <x:f>IF(A97="","",G97*H97)</x:f>
      </x:c>
      <x:c r="J97" t="str">
        <x:f>IF(A97="","",IF(AND(G97&gt;=0,H97&gt;0),"OK","CHECK"))</x:f>
      </x:c>
      <x:c r="K97" t="str">
        <x:f>IF(A97="","", "RW-"&amp;A97&amp;"-L"&amp;TEXT(B97,"00")&amp;"-"&amp;TEXT(C97,"yyyymmdd")&amp;"-"&amp;D97&amp;"-"&amp;E97&amp;"-"&amp;F97)</x:f>
      </x:c>
      <x:c r="L97" t="str">
        <x:f>IF(A97="","",IF(AND(J97="OK",COUNTIF($K$5:$K$100,K97)=1),"OK","CHECK"))</x:f>
      </x:c>
    </x:row>
    <x:row r="98" ht="18" customHeight="1">
      <x:c r="I98" t="str">
        <x:f>IF(A98="","",G98*H98)</x:f>
      </x:c>
      <x:c r="J98" t="str">
        <x:f>IF(A98="","",IF(AND(G98&gt;=0,H98&gt;0),"OK","CHECK"))</x:f>
      </x:c>
      <x:c r="K98" t="str">
        <x:f>IF(A98="","", "RW-"&amp;A98&amp;"-L"&amp;TEXT(B98,"00")&amp;"-"&amp;TEXT(C98,"yyyymmdd")&amp;"-"&amp;D98&amp;"-"&amp;E98&amp;"-"&amp;F98)</x:f>
      </x:c>
      <x:c r="L98" t="str">
        <x:f>IF(A98="","",IF(AND(J98="OK",COUNTIF($K$5:$K$100,K98)=1),"OK","CHECK"))</x:f>
      </x:c>
    </x:row>
    <x:row r="99" ht="18" customHeight="1">
      <x:c r="I99" t="str">
        <x:f>IF(A99="","",G99*H99)</x:f>
      </x:c>
      <x:c r="J99" t="str">
        <x:f>IF(A99="","",IF(AND(G99&gt;=0,H99&gt;0),"OK","CHECK"))</x:f>
      </x:c>
      <x:c r="K99" t="str">
        <x:f>IF(A99="","", "RW-"&amp;A99&amp;"-L"&amp;TEXT(B99,"00")&amp;"-"&amp;TEXT(C99,"yyyymmdd")&amp;"-"&amp;D99&amp;"-"&amp;E99&amp;"-"&amp;F99)</x:f>
      </x:c>
      <x:c r="L99" t="str">
        <x:f>IF(A99="","",IF(AND(J99="OK",COUNTIF($K$5:$K$100,K99)=1),"OK","CHECK"))</x:f>
      </x:c>
    </x:row>
    <x:row r="100" ht="18" customHeight="1">
      <x:c r="I100" t="str">
        <x:f>IF(A100="","",G100*H100)</x:f>
      </x:c>
      <x:c r="J100" t="str">
        <x:f>IF(A100="","",IF(AND(G100&gt;=0,H100&gt;0),"OK","CHECK"))</x:f>
      </x:c>
      <x:c r="K100" t="str">
        <x:f>IF(A100="","", "RW-"&amp;A100&amp;"-L"&amp;TEXT(B100,"00")&amp;"-"&amp;TEXT(C100,"yyyymmdd")&amp;"-"&amp;D100&amp;"-"&amp;E100&amp;"-"&amp;F100)</x:f>
      </x:c>
      <x:c r="L100" t="str">
        <x:f>IF(A100="","",IF(AND(J100="OK",COUNTIF($K$5:$K$100,K100)=1),"OK","CHECK"))</x:f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</x:sheetData>
  <x:dataValidations count="3">
    <x:dataValidation type="list" sqref="B5:B100">
      <x:formula1>"21,22,23,24,25"</x:formula1>
    </x:dataValidation>
    <x:dataValidation operator="greaterThanOrEqual" sqref="G5:G100">
      <x:formula1>0</x:formula1>
    </x:dataValidation>
    <x:dataValidation operator="greaterThan" sqref="H5:H1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8f13b500be41fc"/>
  </x:tableParts>
</x:worksheet>
</file>