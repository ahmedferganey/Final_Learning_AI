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f2a5245ac447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f31eabc6d5754565"/>
    <x:sheet xmlns:r="http://schemas.openxmlformats.org/officeDocument/2006/relationships" name="LossesOutput" sheetId="2" r:id="Re2da7e6788d5450e"/>
  </x:sheets>
</x:workbook>
</file>

<file path=xl/sharedStrings.xml><?xml version="1.0" encoding="utf-8"?>
<x:sst xmlns:x="http://schemas.openxmlformats.org/spreadsheetml/2006/main">
  <x:si>
    <x:t xml:space="preserve">PROCESS LOSSES — Instructions</x:t>
  </x:si>
  <x:si>
    <x:t xml:space="preserve">Owner: Process Engineers</x:t>
  </x:si>
  <x:si>
    <x:t xml:space="preserve">This sheet is WIDE on purpose. SSIS will unpivot the 11 % columns.</x:t>
  </x:si>
  <x:si>
    <x:t xml:space="preserve">Business rules (locked):</x:t>
  </x:si>
  <x:si>
    <x:t xml:space="preserve">• Each % is a percentage of Design Output</x:t>
  </x:si>
  <x:si>
    <x:t xml:space="preserve">• ComputedValue = LossPercent × DesignOutput</x:t>
  </x:si>
  <x:si>
    <x:t xml:space="preserve">• Total Losses % = SUM of the 11 percentage columns</x:t>
  </x:si>
  <x:si>
    <x:t xml:space="preserve">Keep Excel column names WITHOUT _Pct suffix. SSIS maps them.</x:t>
  </x:si>
  <x:si>
    <x:t xml:space="preserve">Save as 03_Process_Losses_YYYYMMDD.xlsx into the OneDrive Daily folder</x:t>
  </x:si>
  <x:si>
    <x:t xml:space="preserve">Dataset note: one-week subset (2025-10-20 to 2025-10-26); rows remain keyed to production and loss percentages reconcile to TotalReject_Value.</x:t>
  </x:si>
  <x:si>
    <x:t xml:space="preserve">LOSSES &amp; OUTPUT (WIDE FORMAT)</x:t>
  </x:si>
  <x:si>
    <x:t xml:space="preserve">Maps to STG_LOSSESOUTPUT → FACT_LOSSESOUTPUT (unpivoted)</x:t>
  </x:si>
  <x:si>
    <x:t xml:space="preserve">One row = Line + Date + Shift + Order. Percentages are of Design Output.</x:t>
  </x:si>
  <x:si>
    <x:t xml:space="preserve">FactoryCode</x:t>
  </x:si>
  <x:si>
    <x:t xml:space="preserve">LineNumber</x:t>
  </x:si>
  <x:si>
    <x:t xml:space="preserve">EventDate</x:t>
  </x:si>
  <x:si>
    <x:t xml:space="preserve">ShiftCode</x:t>
  </x:si>
  <x:si>
    <x:t xml:space="preserve">OrderNumber</x:t>
  </x:si>
  <x:si>
    <x:t xml:space="preserve">CaseName</x:t>
  </x:si>
  <x:si>
    <x:t xml:space="preserve">TotalReject_Value</x:t>
  </x:si>
  <x:si>
    <x:t xml:space="preserve">FixedLosses</x:t>
  </x:si>
  <x:si>
    <x:t xml:space="preserve">ISLosses</x:t>
  </x:si>
  <x:si>
    <x:t xml:space="preserve">HotEndConveyerLosses</x:t>
  </x:si>
  <x:si>
    <x:t xml:space="preserve">StuckDownLosses</x:t>
  </x:si>
  <x:si>
    <x:t xml:space="preserve">LehrLosses</x:t>
  </x:si>
  <x:si>
    <x:t xml:space="preserve">Evo16Losses</x:t>
  </x:si>
  <x:si>
    <x:t xml:space="preserve">Evo12Losses</x:t>
  </x:si>
  <x:si>
    <x:t xml:space="preserve">Evo5Losses</x:t>
  </x:si>
  <x:si>
    <x:t xml:space="preserve">SanliLosses</x:t>
  </x:si>
  <x:si>
    <x:t xml:space="preserve">VisualLosses</x:t>
  </x:si>
  <x:si>
    <x:t xml:space="preserve">PalletizerLosses</x:t>
  </x:si>
  <x:si>
    <x:t xml:space="preserve">KG01</x:t>
  </x:si>
  <x:si>
    <x:t xml:space="preserve">AM</x:t>
  </x:si>
  <x:si>
    <x:t xml:space="preserve">ORD-2025-00019</x:t>
  </x:si>
  <x:si>
    <x:t xml:space="preserve">Normal</x:t>
  </x:si>
  <x:si>
    <x:t xml:space="preserve">PM</x:t>
  </x:si>
  <x:si>
    <x:t xml:space="preserve">ORD-2025-00020</x:t>
  </x:si>
  <x:si>
    <x:t xml:space="preserve">Trial</x:t>
  </x:si>
  <x:si>
    <x:t xml:space="preserve">ORD-2025-00021</x:t>
  </x:si>
  <x:si>
    <x:t xml:space="preserve">ORD-2025-00056</x:t>
  </x:si>
  <x:si>
    <x:t xml:space="preserve">ORD-2025-00057</x:t>
  </x:si>
  <x:si>
    <x:t xml:space="preserve">ORD-2025-00058</x:t>
  </x:si>
  <x:si>
    <x:t xml:space="preserve">ORD-2025-00092</x:t>
  </x:si>
  <x:si>
    <x:t xml:space="preserve">ORD-2025-00093</x:t>
  </x:si>
  <x:si>
    <x:t xml:space="preserve">ORD-2025-00094</x:t>
  </x:si>
  <x:si>
    <x:t xml:space="preserve">ORD-2025-00124</x:t>
  </x:si>
  <x:si>
    <x:t xml:space="preserve">ORD-2025-00125</x:t>
  </x:si>
  <x:si>
    <x:t xml:space="preserve">ORD-2025-00126</x:t>
  </x:si>
  <x:si>
    <x:t xml:space="preserve">ORD-2025-00161</x:t>
  </x:si>
  <x:si>
    <x:t xml:space="preserve">ORD-2025-00162</x:t>
  </x:si>
</x:sst>
</file>

<file path=xl/styles.xml><?xml version="1.0" encoding="utf-8"?>
<x:styleSheet xmlns:x="http://schemas.openxmlformats.org/spreadsheetml/2006/main">
  <x:numFmts count="2">
    <x:numFmt numFmtId="164" formatCode="yyyy\-mm\-dd"/>
    <x:numFmt numFmtId="200" formatCode="0.00%"/>
  </x:numFmts>
  <x:fonts count="7">
    <x:font>
      <x:sz val="11"/>
      <x:name val="Carlito"/>
    </x:font>
    <x:font>
      <x:b/>
      <x:sz val="16"/>
      <x:color rgb="FF1F4E78"/>
      <x:name val="Carlito"/>
    </x:font>
    <x:font>
      <x:b/>
      <x:sz val="11"/>
      <x:name val="Carlito"/>
    </x:font>
    <x:font>
      <x:b/>
      <x:sz val="11"/>
      <x:color rgb="FFC00000"/>
      <x:name val="Carlito"/>
    </x:font>
    <x:font>
      <x:i/>
      <x:sz val="11"/>
      <x:color rgb="FF666666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DDEBF7"/>
      </x:patternFill>
    </x:fill>
    <x:fill>
      <x:patternFill patternType="solid">
        <x:fgColor rgb="FF202326"/>
      </x:patternFill>
    </x:fill>
    <x:fill>
      <x:patternFill patternType="solid">
        <x:fgColor rgb="FF303438"/>
      </x:patternFill>
    </x:fill>
  </x:fills>
  <x:borders count="2">
    <x:border/>
    <x:border/>
  </x:borders>
  <x:cellStyleXfs count="1">
    <x:xf numFmtId="0" fontId="0" fillId="0" borderId="0"/>
  </x:cellStyleXfs>
  <x:cellXfs count="43">
    <x:xf numFmtId="0" fontId="0" fillId="0" borderId="0" xfId="0"/>
    <x:xf numFmtId="0" fontId="1" fillId="0" borderId="0" xfId="0" applyFont="1"/>
    <x:xf numFmtId="0" fontId="1" fillId="0" borderId="0" xfId="0" applyFont="1" applyAlignment="1">
      <x:alignment wrapText="1"/>
    </x:xf>
    <x:xf numFmtId="0" fontId="0" fillId="0" borderId="0" xfId="0" applyAlignment="1">
      <x:alignment wrapText="1"/>
    </x:xf>
    <x:xf numFmtId="0" fontId="2" fillId="0" borderId="0" xfId="0" applyFont="1" applyAlignment="1">
      <x:alignment wrapText="1"/>
    </x:xf>
    <x:xf numFmtId="0" fontId="3" fillId="0" borderId="0" xfId="0" applyFont="1"/>
    <x:xf numFmtId="0" fontId="4" fillId="0" borderId="0" xfId="0" applyFont="1"/>
    <x:xf numFmtId="0" fontId="5" fillId="2" borderId="0" xfId="0" applyFont="1" applyFill="1" applyAlignment="1">
      <x:alignment horizontal="center" vertical="center" wrapText="1"/>
    </x:xf>
    <x:xf numFmtId="164" fontId="0" fillId="3" borderId="0" xfId="0" applyNumberFormat="1" applyFill="1" applyAlignment="1">
      <x:alignment vertical="center"/>
    </x:xf>
    <x:xf numFmtId="0" fontId="0" fillId="4" borderId="0" xfId="0" applyFill="1" applyAlignment="1">
      <x:alignment vertical="center"/>
    </x:xf>
    <x:xf numFmtId="0" fontId="0" fillId="5" borderId="0" xfId="0" applyFill="1" applyAlignment="1">
      <x:alignment vertical="center"/>
    </x:xf>
    <x:xf numFmtId="3" fontId="0" fillId="5" borderId="0" xfId="0" applyNumberFormat="1" applyFill="1" applyAlignment="1">
      <x:alignment vertical="center"/>
    </x:xf>
    <x:xf numFmtId="10" fontId="0" fillId="5" borderId="0" xfId="0" applyNumberFormat="1" applyFill="1" applyAlignment="1">
      <x:alignment vertical="center"/>
    </x:xf>
    <x:xf numFmtId="0" fontId="0" fillId="0" borderId="1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/>
    <x:xf numFmtId="0" fontId="4" fillId="0" borderId="1" xfId="0" applyNumberFormat="1" applyFont="1" applyFill="1" applyBorder="1"/>
    <x:xf numFmtId="0" fontId="5" fillId="2" borderId="1" xfId="0" applyNumberFormat="1" applyFont="1" applyFill="1" applyBorder="1" applyAlignment="1">
      <x:alignment horizontal="center" vertical="center" wrapText="1"/>
    </x:xf>
    <x:xf numFmtId="164" fontId="0" fillId="3" borderId="1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 applyAlignment="1">
      <x:alignment vertical="center"/>
    </x:xf>
    <x:xf numFmtId="0" fontId="0" fillId="5" borderId="1" xfId="0" applyNumberFormat="1" applyFont="1" applyFill="1" applyBorder="1" applyAlignment="1">
      <x:alignment vertical="center"/>
    </x:xf>
    <x:xf numFmtId="3" fontId="0" fillId="5" borderId="1" xfId="0" applyNumberFormat="1" applyFont="1" applyFill="1" applyBorder="1" applyAlignment="1">
      <x:alignment vertical="center"/>
    </x:xf>
    <x:xf numFmtId="10" fontId="0" fillId="5" borderId="1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1" fillId="6" borderId="0" xfId="0" applyNumberFormat="1" applyFont="1" applyFill="1" applyBorder="1"/>
    <x:xf numFmtId="0" fontId="0" fillId="6" borderId="0" xfId="0" applyNumberFormat="1" applyFont="1" applyFill="1" applyBorder="1"/>
    <x:xf numFmtId="200" fontId="0" fillId="6" borderId="0" xfId="0" applyNumberFormat="1" applyFont="1" applyFill="1" applyBorder="1"/>
    <x:xf numFmtId="0" fontId="1" fillId="6" borderId="1" xfId="0" applyNumberFormat="1" applyFont="1" applyFill="1" applyBorder="1"/>
    <x:xf numFmtId="0" fontId="0" fillId="6" borderId="1" xfId="0" applyNumberFormat="1" applyFont="1" applyFill="1" applyBorder="1"/>
    <x:xf numFmtId="200" fontId="0" fillId="6" borderId="1" xfId="0" applyNumberFormat="1" applyFont="1" applyFill="1" applyBorder="1"/>
    <x:xf numFmtId="0" fontId="6" fillId="6" borderId="0" xfId="0" applyNumberFormat="1" applyFont="1" applyFill="1" applyBorder="1"/>
    <x:xf numFmtId="200" fontId="6" fillId="6" borderId="0" xfId="0" applyNumberFormat="1" applyFont="1" applyFill="1" applyBorder="1"/>
    <x:xf numFmtId="0" fontId="6" fillId="6" borderId="1" xfId="0" applyNumberFormat="1" applyFont="1" applyFill="1" applyBorder="1"/>
    <x:xf numFmtId="200" fontId="6" fillId="6" borderId="1" xfId="0" applyNumberFormat="1" applyFont="1" applyFill="1" applyBorder="1"/>
    <x:xf numFmtId="0" fontId="5" fillId="7" borderId="0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5" fillId="7" borderId="1" xfId="0" applyNumberFormat="1" applyFont="1" applyFill="1" applyBorder="1" applyAlignment="1">
      <x:alignment horizontal="center" vertical="center" wrapText="1"/>
    </x:xf>
    <x:xf numFmtId="0" fontId="0" fillId="7" borderId="1" xfId="0" applyNumberFormat="1" applyFont="1" applyFill="1" applyBorder="1"/>
    <x:xf numFmtId="0" fontId="5" fillId="7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ebd424ef9f46e2" /><Relationship Type="http://schemas.openxmlformats.org/officeDocument/2006/relationships/theme" Target="/xl/theme/theme1.xml" Id="Re3dc9f37728d450a" /><Relationship Type="http://schemas.openxmlformats.org/officeDocument/2006/relationships/sharedStrings" Target="/xl/sharedStrings.xml" Id="R863415f3d6d54a92" /><Relationship Type="http://schemas.openxmlformats.org/officeDocument/2006/relationships/worksheet" Target="/xl/worksheets/sheet1.xml" Id="Rf31eabc6d5754565" /><Relationship Type="http://schemas.openxmlformats.org/officeDocument/2006/relationships/worksheet" Target="/xl/worksheets/sheet2.xml" Id="Re2da7e6788d5450e" /></Relationships>
</file>

<file path=xl/tables/table1.xml><?xml version="1.0" encoding="utf-8"?>
<x:table xmlns:x="http://schemas.openxmlformats.org/spreadsheetml/2006/main" id="1" name="LossesOutput_Fact" displayName="LossesOutput_Fact" ref="A4:R74" totalsRowShown="0">
  <x:tableColumns count="18">
    <x:tableColumn id="1" name="FactoryCode"/>
    <x:tableColumn id="2" name="LineNumber"/>
    <x:tableColumn id="3" name="EventDate"/>
    <x:tableColumn id="4" name="ShiftCode"/>
    <x:tableColumn id="5" name="OrderNumber"/>
    <x:tableColumn id="6" name="CaseName"/>
    <x:tableColumn id="7" name="TotalReject_Value"/>
    <x:tableColumn id="8" name="FixedLosses"/>
    <x:tableColumn id="9" name="ISLosses"/>
    <x:tableColumn id="10" name="HotEndConveyerLosses"/>
    <x:tableColumn id="11" name="StuckDownLosses"/>
    <x:tableColumn id="12" name="LehrLosses"/>
    <x:tableColumn id="13" name="Evo16Losses"/>
    <x:tableColumn id="14" name="Evo12Losses"/>
    <x:tableColumn id="15" name="Evo5Losses"/>
    <x:tableColumn id="16" name="SanliLosses"/>
    <x:tableColumn id="17" name="VisualLosses"/>
    <x:tableColumn id="18" name="PalletizerLoss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adb5dfcc2d84ac8" /></Relationships>
</file>

<file path=xl/worksheets/sheet1.xml><?xml version="1.0" encoding="utf-8"?>
<x:worksheet xmlns:x="http://schemas.openxmlformats.org/spreadsheetml/2006/main">
  <x:sheetFormatPr defaultRowHeight="14.25"/>
  <x:cols>
    <x:col min="1" max="1" width="110" hidden="0" customWidth="1"/>
  </x:cols>
  <x:sheetData>
    <x:row r="1" ht="20.25">
      <x:c r="A1" s="2" t="s">
        <x:v>0</x:v>
      </x:c>
    </x:row>
    <x:row r="2">
      <x:c r="A2" s="3"/>
    </x:row>
    <x:row r="3">
      <x:c r="A3" s="3" t="s">
        <x:v>1</x:v>
      </x:c>
    </x:row>
    <x:row r="4">
      <x:c r="A4" s="3"/>
    </x:row>
    <x:row r="5">
      <x:c r="A5" s="3" t="s">
        <x:v>2</x:v>
      </x:c>
    </x:row>
    <x:row r="6">
      <x:c r="A6" s="3"/>
    </x:row>
    <x:row r="7" ht="15">
      <x:c r="A7" s="4" t="s">
        <x:v>3</x:v>
      </x:c>
    </x:row>
    <x:row r="8">
      <x:c r="A8" s="3" t="s">
        <x:v>4</x:v>
      </x:c>
    </x:row>
    <x:row r="9">
      <x:c r="A9" s="3" t="s">
        <x:v>5</x:v>
      </x:c>
    </x:row>
    <x:row r="10">
      <x:c r="A10" s="3" t="s">
        <x:v>6</x:v>
      </x:c>
    </x:row>
    <x:row r="11">
      <x:c r="A11" s="3"/>
    </x:row>
    <x:row r="12">
      <x:c r="A12" s="3" t="s">
        <x:v>7</x:v>
      </x:c>
    </x:row>
    <x:row r="13">
      <x:c r="A13" s="3"/>
    </x:row>
    <x:row r="14">
      <x:c r="A14" s="3" t="s">
        <x:v>8</x:v>
      </x:c>
    </x:row>
    <x:row r="15">
      <x:c r="A15" s="3"/>
    </x:row>
    <x:row r="16" ht="28.5">
      <x:c r="A16" s="3" t="s">
        <x:v>9</x:v>
      </x:c>
    </x:row>
    <x:row r="18">
      <x:c r="A18" t="str">
        <x:v>QA EXTENSION</x:v>
      </x:c>
    </x:row>
    <x:row r="19">
      <x:c r="A19" t="str">
        <x:v>TotalLossPct and validation checks are appended; original A:R remain unchanged for Power BI compatibility.</x:v>
      </x:c>
    </x:row>
    <x:row r="20">
      <x:c r="A20" t="str">
        <x:v>Percent fields are constrained to 0–100% and stable record IDs are calculated.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.25"/>
  <x:cols>
    <x:col min="1" max="1" width="14" customWidth="1"/>
    <x:col min="2" max="2" width="12" customWidth="1"/>
    <x:col min="3" max="3" width="14" customWidth="1"/>
    <x:col min="4" max="4" width="12" customWidth="1"/>
    <x:col min="5" max="5" width="20" customWidth="1"/>
    <x:col min="6" max="6" width="14" customWidth="1"/>
    <x:col min="7" max="7" width="18" customWidth="1"/>
    <x:col min="8" max="8" width="14" customWidth="1"/>
    <x:col min="9" max="9" width="12" customWidth="1"/>
    <x:col min="10" max="10" width="24" customWidth="1"/>
    <x:col min="11" max="11" width="18" customWidth="1"/>
    <x:col min="12" max="14" width="14" customWidth="1"/>
    <x:col min="15" max="15" width="12" customWidth="1"/>
    <x:col min="16" max="17" width="14" customWidth="1"/>
    <x:col min="18" max="18" width="18" customWidth="1"/>
  </x:cols>
  <x:sheetData>
    <x:row r="1" ht="24" customHeight="1">
      <x:c r="A1" s="34" t="s">
        <x:v>10</x:v>
      </x:c>
      <x:c r="B1" s="34"/>
      <x:c r="C1" s="34"/>
      <x:c r="D1" s="34"/>
      <x:c r="E1" s="34"/>
      <x:c r="F1" s="34"/>
      <x:c r="G1" s="34"/>
      <x:c r="H1" s="34"/>
      <x:c r="I1" s="34"/>
      <x:c r="J1" s="34"/>
      <x:c r="K1" s="34"/>
      <x:c r="L1" s="34"/>
      <x:c r="M1" s="34"/>
      <x:c r="N1" s="34"/>
      <x:c r="O1" s="34"/>
      <x:c r="P1" s="34"/>
      <x:c r="Q1" s="34"/>
      <x:c r="R1" s="34"/>
      <x:c r="S1" s="35"/>
      <x:c r="T1" s="34"/>
      <x:c r="U1" s="34"/>
      <x:c r="V1" s="34"/>
      <x:c r="W1" s="34"/>
    </x:row>
    <x:row r="2" ht="15">
      <x:c r="A2" s="5" t="s">
        <x:v>11</x:v>
      </x:c>
    </x:row>
    <x:row r="3">
      <x:c r="A3" s="6" t="s">
        <x:v>12</x:v>
      </x:c>
    </x:row>
    <x:row r="4" ht="30" customHeight="1">
      <x:c r="A4" s="38" t="s">
        <x:v>13</x:v>
      </x:c>
      <x:c r="B4" s="38" t="s">
        <x:v>14</x:v>
      </x:c>
      <x:c r="C4" s="38" t="s">
        <x:v>15</x:v>
      </x:c>
      <x:c r="D4" s="38" t="s">
        <x:v>16</x:v>
      </x:c>
      <x:c r="E4" s="38" t="s">
        <x:v>17</x:v>
      </x:c>
      <x:c r="F4" s="38" t="s">
        <x:v>18</x:v>
      </x:c>
      <x:c r="G4" s="38" t="s">
        <x:v>19</x:v>
      </x:c>
      <x:c r="H4" s="38" t="s">
        <x:v>20</x:v>
      </x:c>
      <x:c r="I4" s="38" t="s">
        <x:v>21</x:v>
      </x:c>
      <x:c r="J4" s="38" t="s">
        <x:v>22</x:v>
      </x:c>
      <x:c r="K4" s="38" t="s">
        <x:v>23</x:v>
      </x:c>
      <x:c r="L4" s="38" t="s">
        <x:v>24</x:v>
      </x:c>
      <x:c r="M4" s="38" t="s">
        <x:v>25</x:v>
      </x:c>
      <x:c r="N4" s="38" t="s">
        <x:v>26</x:v>
      </x:c>
      <x:c r="O4" s="38" t="s">
        <x:v>27</x:v>
      </x:c>
      <x:c r="P4" s="38" t="s">
        <x:v>28</x:v>
      </x:c>
      <x:c r="Q4" s="38" t="s">
        <x:v>29</x:v>
      </x:c>
      <x:c r="R4" s="38" t="s">
        <x:v>30</x:v>
      </x:c>
      <x:c r="S4" s="42" t="str">
        <x:v>TotalLossPct</x:v>
      </x:c>
      <x:c r="T4" s="42" t="str">
        <x:v>PercentRangeCheck</x:v>
      </x:c>
      <x:c r="U4" s="42" t="str">
        <x:v>LossRecordID</x:v>
      </x:c>
      <x:c r="V4" s="42" t="str">
        <x:v>RecordUniquenessCheck</x:v>
      </x:c>
      <x:c r="W4" s="42" t="str">
        <x:v>DataQualityCheck</x:v>
      </x:c>
    </x:row>
    <x:row r="5" ht="18" customHeight="1">
      <x:c r="A5" s="9" t="s">
        <x:v>31</x:v>
      </x:c>
      <x:c r="B5" s="10">
        <x:v>21</x:v>
      </x:c>
      <x:c r="C5" s="8">
        <x:v>45950</x:v>
      </x:c>
      <x:c r="D5" s="9" t="s">
        <x:v>32</x:v>
      </x:c>
      <x:c r="E5" s="9" t="s">
        <x:v>33</x:v>
      </x:c>
      <x:c r="F5" s="9" t="s">
        <x:v>34</x:v>
      </x:c>
      <x:c r="G5" s="11">
        <x:v>13161</x:v>
      </x:c>
      <x:c r="H5" s="12">
        <x:v>6.1254775662277798E-3</x:v>
      </x:c>
      <x:c r="I5" s="12">
        <x:v>1.2625903823687284E-2</x:v>
      </x:c>
      <x:c r="J5" s="12">
        <x:v>4.5072779514382239E-3</x:v>
      </x:c>
      <x:c r="K5" s="12">
        <x:v>3.3982191910580657E-3</x:v>
      </x:c>
      <x:c r="L5" s="12">
        <x:v>2.7627798301285088E-3</x:v>
      </x:c>
      <x:c r="M5" s="12">
        <x:v>6.0978497679264939E-3</x:v>
      </x:c>
      <x:c r="N5" s="12">
        <x:v>1.4090177133655394E-3</x:v>
      </x:c>
      <x:c r="O5" s="12">
        <x:v>1.6774020397208804E-3</x:v>
      </x:c>
      <x:c r="P5" s="12">
        <x:v>2.0128824476650562E-3</x:v>
      </x:c>
      <x:c r="Q5" s="12">
        <x:v>6.504373085788261E-3</x:v>
      </x:c>
      <x:c r="R5" s="12">
        <x:v>4.8230242177386253E-3</x:v>
      </x:c>
      <x:c r="S5" t="n">
        <x:f>IF(A5="","",SUM(H5:R5))</x:f>
        <x:v>0.05194420763474472</x:v>
      </x:c>
      <x:c r="T5" t="str">
        <x:f>IF(A5="","",IF(AND(MIN(H5:R5)&gt;=0,MAX(H5:R5)&lt;=1,S5&lt;=1),"OK","CHECK"))</x:f>
        <x:v>OK</x:v>
      </x:c>
      <x:c r="U5" t="str">
        <x:f>IF(A5="","", "LOSS-"&amp;A5&amp;"-L"&amp;TEXT(B5,"00")&amp;"-"&amp;TEXT(C5,"yyyymmdd")&amp;"-"&amp;D5&amp;"-"&amp;E5)</x:f>
        <x:v>LOSS-KG01-L21-20251020-AM-ORD-2025-00019</x:v>
      </x:c>
      <x:c r="V5" t="str">
        <x:f>IF(U5="","",IF(COUNTIF($U$5:$U$120,U5)=1,"OK","CHECK"))</x:f>
        <x:v>OK</x:v>
      </x:c>
      <x:c r="W5" t="str">
        <x:f>IF(A5="","",IF(AND(T5="OK",V5="OK",G5&gt;=0),"OK","CHECK"))</x:f>
        <x:v>OK</x:v>
      </x:c>
    </x:row>
    <x:row r="6" ht="18" customHeight="1">
      <x:c r="A6" s="9" t="s">
        <x:v>31</x:v>
      </x:c>
      <x:c r="B6" s="10">
        <x:v>21</x:v>
      </x:c>
      <x:c r="C6" s="8">
        <x:v>45950</x:v>
      </x:c>
      <x:c r="D6" s="9" t="s">
        <x:v>35</x:v>
      </x:c>
      <x:c r="E6" s="9" t="s">
        <x:v>33</x:v>
      </x:c>
      <x:c r="F6" s="9" t="s">
        <x:v>34</x:v>
      </x:c>
      <x:c r="G6" s="11">
        <x:v>10575</x:v>
      </x:c>
      <x:c r="H6" s="12">
        <x:v>7.468625650443832E-3</x:v>
      </x:c>
      <x:c r="I6" s="12">
        <x:v>1.3284358738904193E-2</x:v>
      </x:c>
      <x:c r="J6" s="12">
        <x:v>1.8540382176745814E-3</x:v>
      </x:c>
      <x:c r="K6" s="12">
        <x:v>2.5799116708207616E-3</x:v>
      </x:c>
      <x:c r="L6" s="12">
        <x:v>4.3552407188770827E-3</x:v>
      </x:c>
      <x:c r="M6" s="12">
        <x:v>4.2371769644496916E-3</x:v>
      </x:c>
      <x:c r="N6" s="12">
        <x:v>1.7578381214744851E-3</x:v>
      </x:c>
      <x:c r="O6" s="12">
        <x:v>4.2415496960951507E-4</x:v>
      </x:c>
      <x:c r="P6" s="12">
        <x:v>4.20219511128602E-3</x:v>
      </x:c>
      <x:c r="Q6" s="12">
        <x:v>5.177314268223359E-3</x:v>
      </x:c>
      <x:c r="R6" s="12">
        <x:v>9.0078271896453714E-4</x:v>
      </x:c>
      <x:c r="S6" t="n">
        <x:f>IF(A6="","",SUM(H6:R6))</x:f>
        <x:v>0.046241637150728064</x:v>
      </x:c>
      <x:c r="T6" t="str">
        <x:f>IF(A6="","",IF(AND(MIN(H6:R6)&gt;=0,MAX(H6:R6)&lt;=1,S6&lt;=1),"OK","CHECK"))</x:f>
        <x:v>OK</x:v>
      </x:c>
      <x:c r="U6" t="str">
        <x:f>IF(A6="","", "LOSS-"&amp;A6&amp;"-L"&amp;TEXT(B6,"00")&amp;"-"&amp;TEXT(C6,"yyyymmdd")&amp;"-"&amp;D6&amp;"-"&amp;E6)</x:f>
        <x:v>LOSS-KG01-L21-20251020-PM-ORD-2025-00019</x:v>
      </x:c>
      <x:c r="V6" t="str">
        <x:f>IF(U6="","",IF(COUNTIF($U$5:$U$120,U6)=1,"OK","CHECK"))</x:f>
        <x:v>OK</x:v>
      </x:c>
      <x:c r="W6" t="str">
        <x:f>IF(A6="","",IF(AND(T6="OK",V6="OK",G6&gt;=0),"OK","CHECK"))</x:f>
        <x:v>OK</x:v>
      </x:c>
    </x:row>
    <x:row r="7" ht="18" customHeight="1">
      <x:c r="A7" s="9" t="s">
        <x:v>31</x:v>
      </x:c>
      <x:c r="B7" s="10">
        <x:v>21</x:v>
      </x:c>
      <x:c r="C7" s="8">
        <x:v>45951</x:v>
      </x:c>
      <x:c r="D7" s="9" t="s">
        <x:v>32</x:v>
      </x:c>
      <x:c r="E7" s="9" t="s">
        <x:v>36</x:v>
      </x:c>
      <x:c r="F7" s="9" t="s">
        <x:v>37</x:v>
      </x:c>
      <x:c r="G7" s="11">
        <x:v>9054</x:v>
      </x:c>
      <x:c r="H7" s="12">
        <x:v>5.6964842011570987E-3</x:v>
      </x:c>
      <x:c r="I7" s="12">
        <x:v>1.855807743658211E-2</x:v>
      </x:c>
      <x:c r="J7" s="12">
        <x:v>6.7979528259902089E-3</x:v>
      </x:c>
      <x:c r="K7" s="12">
        <x:v>9.6684468179795285E-3</x:v>
      </x:c>
      <x:c r="L7" s="12">
        <x:v>3.4156653315531821E-3</x:v>
      </x:c>
      <x:c r="M7" s="12">
        <x:v>1.8791722296395193E-2</x:v>
      </x:c>
      <x:c r="N7" s="12">
        <x:v>2.5700934579439253E-3</x:v>
      </x:c>
      <x:c r="O7" s="12">
        <x:v>5.9412550066755675E-3</x:v>
      </x:c>
      <x:c r="P7" s="12">
        <x:v>6.9648420115709835E-3</x:v>
      </x:c>
      <x:c r="Q7" s="12">
        <x:v>1.1003560302625724E-2</x:v>
      </x:c>
      <x:c r="R7" s="12">
        <x:v>1.1326212728081887E-2</x:v>
      </x:c>
      <x:c r="S7" t="n">
        <x:f>IF(A7="","",SUM(H7:R7))</x:f>
        <x:v>0.10073431241655541</x:v>
      </x:c>
      <x:c r="T7" t="str">
        <x:f>IF(A7="","",IF(AND(MIN(H7:R7)&gt;=0,MAX(H7:R7)&lt;=1,S7&lt;=1),"OK","CHECK"))</x:f>
        <x:v>OK</x:v>
      </x:c>
      <x:c r="U7" t="str">
        <x:f>IF(A7="","", "LOSS-"&amp;A7&amp;"-L"&amp;TEXT(B7,"00")&amp;"-"&amp;TEXT(C7,"yyyymmdd")&amp;"-"&amp;D7&amp;"-"&amp;E7)</x:f>
        <x:v>LOSS-KG01-L21-20251021-AM-ORD-2025-00020</x:v>
      </x:c>
      <x:c r="V7" t="str">
        <x:f>IF(U7="","",IF(COUNTIF($U$5:$U$120,U7)=1,"OK","CHECK"))</x:f>
        <x:v>OK</x:v>
      </x:c>
      <x:c r="W7" t="str">
        <x:f>IF(A7="","",IF(AND(T7="OK",V7="OK",G7&gt;=0),"OK","CHECK"))</x:f>
        <x:v>OK</x:v>
      </x:c>
    </x:row>
    <x:row r="8" ht="18" customHeight="1">
      <x:c r="A8" s="9" t="s">
        <x:v>31</x:v>
      </x:c>
      <x:c r="B8" s="10">
        <x:v>21</x:v>
      </x:c>
      <x:c r="C8" s="8">
        <x:v>45951</x:v>
      </x:c>
      <x:c r="D8" s="9" t="s">
        <x:v>35</x:v>
      </x:c>
      <x:c r="E8" s="9" t="s">
        <x:v>36</x:v>
      </x:c>
      <x:c r="F8" s="9" t="s">
        <x:v>34</x:v>
      </x:c>
      <x:c r="G8" s="11">
        <x:v>6646</x:v>
      </x:c>
      <x:c r="H8" s="12">
        <x:v>4.0160642570281121E-3</x:v>
      </x:c>
      <x:c r="I8" s="12">
        <x:v>7.8600114744693059E-3</x:v>
      </x:c>
      <x:c r="J8" s="12">
        <x:v>4.0088927137119906E-3</x:v>
      </x:c>
      <x:c r="K8" s="12">
        <x:v>5.0272518646012621E-3</x:v>
      </x:c>
      <x:c r="L8" s="12">
        <x:v>2.5602409638554218E-3</x:v>
      </x:c>
      <x:c r="M8" s="12">
        <x:v>3.2343660355708547E-3</x:v>
      </x:c>
      <x:c r="N8" s="12">
        <x:v>5.2567412507171542E-3</x:v>
      </x:c>
      <x:c r="O8" s="12">
        <x:v>1.1331038439472173E-3</x:v>
      </x:c>
      <x:c r="P8" s="12">
        <x:v>4.7188755020080323E-3</x:v>
      </x:c>
      <x:c r="Q8" s="12">
        <x:v>5.6153184165232354E-3</x:v>
      </x:c>
      <x:c r="R8" s="12">
        <x:v>4.2312105565117612E-3</x:v>
      </x:c>
      <x:c r="S8" t="n">
        <x:f>IF(A8="","",SUM(H8:R8))</x:f>
        <x:v>0.04766207687894434</x:v>
      </x:c>
      <x:c r="T8" t="str">
        <x:f>IF(A8="","",IF(AND(MIN(H8:R8)&gt;=0,MAX(H8:R8)&lt;=1,S8&lt;=1),"OK","CHECK"))</x:f>
        <x:v>OK</x:v>
      </x:c>
      <x:c r="U8" t="str">
        <x:f>IF(A8="","", "LOSS-"&amp;A8&amp;"-L"&amp;TEXT(B8,"00")&amp;"-"&amp;TEXT(C8,"yyyymmdd")&amp;"-"&amp;D8&amp;"-"&amp;E8)</x:f>
        <x:v>LOSS-KG01-L21-20251021-PM-ORD-2025-00020</x:v>
      </x:c>
      <x:c r="V8" t="str">
        <x:f>IF(U8="","",IF(COUNTIF($U$5:$U$120,U8)=1,"OK","CHECK"))</x:f>
        <x:v>OK</x:v>
      </x:c>
      <x:c r="W8" t="str">
        <x:f>IF(A8="","",IF(AND(T8="OK",V8="OK",G8&gt;=0),"OK","CHECK"))</x:f>
        <x:v>OK</x:v>
      </x:c>
    </x:row>
    <x:row r="9" ht="18" customHeight="1">
      <x:c r="A9" s="9" t="s">
        <x:v>31</x:v>
      </x:c>
      <x:c r="B9" s="10">
        <x:v>21</x:v>
      </x:c>
      <x:c r="C9" s="8">
        <x:v>45952</x:v>
      </x:c>
      <x:c r="D9" s="9" t="s">
        <x:v>32</x:v>
      </x:c>
      <x:c r="E9" s="9" t="s">
        <x:v>36</x:v>
      </x:c>
      <x:c r="F9" s="9" t="s">
        <x:v>34</x:v>
      </x:c>
      <x:c r="G9" s="11">
        <x:v>6951</x:v>
      </x:c>
      <x:c r="H9" s="12">
        <x:v>5.4079209191860841E-3</x:v>
      </x:c>
      <x:c r="I9" s="12">
        <x:v>1.1473778804801335E-2</x:v>
      </x:c>
      <x:c r="J9" s="12">
        <x:v>1.5646062006547275E-3</x:v>
      </x:c>
      <x:c r="K9" s="12">
        <x:v>3.9395981770331857E-3</x:v>
      </x:c>
      <x:c r="L9" s="12">
        <x:v>5.2715193529751592E-3</x:v>
      </x:c>
      <x:c r="M9" s="12">
        <x:v>6.3226137749534629E-3</x:v>
      </x:c>
      <x:c r="N9" s="12">
        <x:v>5.7930547531934015E-3</x:v>
      </x:c>
      <x:c r="O9" s="12">
        <x:v>2.9687399704730727E-3</x:v>
      </x:c>
      <x:c r="P9" s="12">
        <x:v>2.4953462995057447E-3</x:v>
      </x:c>
      <x:c r="Q9" s="12">
        <x:v>6.186212208742538E-3</x:v>
      </x:c>
      <x:c r="R9" s="12">
        <x:v>4.3488028756659605E-3</x:v>
      </x:c>
      <x:c r="S9" t="n">
        <x:f>IF(A9="","",SUM(H9:R9))</x:f>
        <x:v>0.055772193337184674</x:v>
      </x:c>
      <x:c r="T9" t="str">
        <x:f>IF(A9="","",IF(AND(MIN(H9:R9)&gt;=0,MAX(H9:R9)&lt;=1,S9&lt;=1),"OK","CHECK"))</x:f>
        <x:v>OK</x:v>
      </x:c>
      <x:c r="U9" t="str">
        <x:f>IF(A9="","", "LOSS-"&amp;A9&amp;"-L"&amp;TEXT(B9,"00")&amp;"-"&amp;TEXT(C9,"yyyymmdd")&amp;"-"&amp;D9&amp;"-"&amp;E9)</x:f>
        <x:v>LOSS-KG01-L21-20251022-AM-ORD-2025-00020</x:v>
      </x:c>
      <x:c r="V9" t="str">
        <x:f>IF(U9="","",IF(COUNTIF($U$5:$U$120,U9)=1,"OK","CHECK"))</x:f>
        <x:v>OK</x:v>
      </x:c>
      <x:c r="W9" t="str">
        <x:f>IF(A9="","",IF(AND(T9="OK",V9="OK",G9&gt;=0),"OK","CHECK"))</x:f>
        <x:v>OK</x:v>
      </x:c>
    </x:row>
    <x:row r="10" ht="18" customHeight="1">
      <x:c r="A10" s="9" t="s">
        <x:v>31</x:v>
      </x:c>
      <x:c r="B10" s="10">
        <x:v>21</x:v>
      </x:c>
      <x:c r="C10" s="8">
        <x:v>45952</x:v>
      </x:c>
      <x:c r="D10" s="9" t="s">
        <x:v>35</x:v>
      </x:c>
      <x:c r="E10" s="9" t="s">
        <x:v>36</x:v>
      </x:c>
      <x:c r="F10" s="9" t="s">
        <x:v>34</x:v>
      </x:c>
      <x:c r="G10" s="11">
        <x:v>6388</x:v>
      </x:c>
      <x:c r="H10" s="12">
        <x:v>4.2483914487339144E-3</x:v>
      </x:c>
      <x:c r="I10" s="12">
        <x:v>6.285024906600249E-3</x:v>
      </x:c>
      <x:c r="J10" s="12">
        <x:v>3.4181714404317143E-3</x:v>
      </x:c>
      <x:c r="K10" s="12">
        <x:v>1.9133976753839767E-3</x:v>
      </x:c>
      <x:c r="L10" s="12">
        <x:v>2.9187422166874221E-3</x:v>
      </x:c>
      <x:c r="M10" s="12">
        <x:v>3.3987131589871314E-3</x:v>
      </x:c>
      <x:c r="N10" s="12">
        <x:v>4.3456828559568288E-4</x:v>
      </x:c>
      <x:c r="O10" s="12">
        <x:v>2.3090493980904938E-3</x:v>
      </x:c>
      <x:c r="P10" s="12">
        <x:v>4.9034869240348689E-3</x:v>
      </x:c>
      <x:c r="Q10" s="12">
        <x:v>9.0805313408053139E-3</x:v>
      </x:c>
      <x:c r="R10" s="12">
        <x:v>2.5230904939809048E-3</x:v>
      </x:c>
      <x:c r="S10" t="n">
        <x:f>IF(A10="","",SUM(H10:R10))</x:f>
        <x:v>0.04143316728933167</x:v>
      </x:c>
      <x:c r="T10" t="str">
        <x:f>IF(A10="","",IF(AND(MIN(H10:R10)&gt;=0,MAX(H10:R10)&lt;=1,S10&lt;=1),"OK","CHECK"))</x:f>
        <x:v>OK</x:v>
      </x:c>
      <x:c r="U10" t="str">
        <x:f>IF(A10="","", "LOSS-"&amp;A10&amp;"-L"&amp;TEXT(B10,"00")&amp;"-"&amp;TEXT(C10,"yyyymmdd")&amp;"-"&amp;D10&amp;"-"&amp;E10)</x:f>
        <x:v>LOSS-KG01-L21-20251022-PM-ORD-2025-00020</x:v>
      </x:c>
      <x:c r="V10" t="str">
        <x:f>IF(U10="","",IF(COUNTIF($U$5:$U$120,U10)=1,"OK","CHECK"))</x:f>
        <x:v>OK</x:v>
      </x:c>
      <x:c r="W10" t="str">
        <x:f>IF(A10="","",IF(AND(T10="OK",V10="OK",G10&gt;=0),"OK","CHECK"))</x:f>
        <x:v>OK</x:v>
      </x:c>
    </x:row>
    <x:row r="11" ht="18" customHeight="1">
      <x:c r="A11" s="9" t="s">
        <x:v>31</x:v>
      </x:c>
      <x:c r="B11" s="10">
        <x:v>21</x:v>
      </x:c>
      <x:c r="C11" s="8">
        <x:v>45953</x:v>
      </x:c>
      <x:c r="D11" s="9" t="s">
        <x:v>32</x:v>
      </x:c>
      <x:c r="E11" s="9" t="s">
        <x:v>36</x:v>
      </x:c>
      <x:c r="F11" s="9" t="s">
        <x:v>34</x:v>
      </x:c>
      <x:c r="G11" s="11">
        <x:v>5426</x:v>
      </x:c>
      <x:c r="H11" s="12">
        <x:v>2.1397379912663755E-3</x:v>
      </x:c>
      <x:c r="I11" s="12">
        <x:v>7.0087336244541486E-3</x:v>
      </x:c>
      <x:c r="J11" s="12">
        <x:v>8.580786026200873E-3</x:v>
      </x:c>
      <x:c r="K11" s="12">
        <x:v>1.4337700145560408E-3</x:v>
      </x:c>
      <x:c r="L11" s="12">
        <x:v>1.3609898107714701E-3</x:v>
      </x:c>
      <x:c r="M11" s="12">
        <x:v>3.6317321688500727E-3</x:v>
      </x:c>
      <x:c r="N11" s="12">
        <x:v>1.6739446870451238E-3</x:v>
      </x:c>
      <x:c r="O11" s="12">
        <x:v>3.1513828238719068E-3</x:v>
      </x:c>
      <x:c r="P11" s="12">
        <x:v>3.8355167394468702E-3</x:v>
      </x:c>
      <x:c r="Q11" s="12">
        <x:v>3.9155749636098983E-3</x:v>
      </x:c>
      <x:c r="R11" s="12">
        <x:v>2.7583697234352255E-3</x:v>
      </x:c>
      <x:c r="S11" t="n">
        <x:f>IF(A11="","",SUM(H11:R11))</x:f>
        <x:v>0.039490538573508004</x:v>
      </x:c>
      <x:c r="T11" t="str">
        <x:f>IF(A11="","",IF(AND(MIN(H11:R11)&gt;=0,MAX(H11:R11)&lt;=1,S11&lt;=1),"OK","CHECK"))</x:f>
        <x:v>OK</x:v>
      </x:c>
      <x:c r="U11" t="str">
        <x:f>IF(A11="","", "LOSS-"&amp;A11&amp;"-L"&amp;TEXT(B11,"00")&amp;"-"&amp;TEXT(C11,"yyyymmdd")&amp;"-"&amp;D11&amp;"-"&amp;E11)</x:f>
        <x:v>LOSS-KG01-L21-20251023-AM-ORD-2025-00020</x:v>
      </x:c>
      <x:c r="V11" t="str">
        <x:f>IF(U11="","",IF(COUNTIF($U$5:$U$120,U11)=1,"OK","CHECK"))</x:f>
        <x:v>OK</x:v>
      </x:c>
      <x:c r="W11" t="str">
        <x:f>IF(A11="","",IF(AND(T11="OK",V11="OK",G11&gt;=0),"OK","CHECK"))</x:f>
        <x:v>OK</x:v>
      </x:c>
    </x:row>
    <x:row r="12" ht="18" customHeight="1">
      <x:c r="A12" s="9" t="s">
        <x:v>31</x:v>
      </x:c>
      <x:c r="B12" s="10">
        <x:v>21</x:v>
      </x:c>
      <x:c r="C12" s="8">
        <x:v>45953</x:v>
      </x:c>
      <x:c r="D12" s="9" t="s">
        <x:v>35</x:v>
      </x:c>
      <x:c r="E12" s="9" t="s">
        <x:v>36</x:v>
      </x:c>
      <x:c r="F12" s="9" t="s">
        <x:v>34</x:v>
      </x:c>
      <x:c r="G12" s="11">
        <x:v>3550</x:v>
      </x:c>
      <x:c r="H12" s="12">
        <x:v>2.7880746443620695E-3</x:v>
      </x:c>
      <x:c r="I12" s="12">
        <x:v>4.4751766308652532E-3</x:v>
      </x:c>
      <x:c r="J12" s="12">
        <x:v>2.5900579792795361E-3</x:v>
      </x:c>
      <x:c r="K12" s="12">
        <x:v>7.2870132750372271E-4</x:v>
      </x:c>
      <x:c r="L12" s="12">
        <x:v>3.4930139720558881E-3</x:v>
      </x:c>
      <x:c r="M12" s="12">
        <x:v>3.5959826378988056E-3</x:v>
      </x:c>
      <x:c r="N12" s="12">
        <x:v>1.2435446567183094E-3</x:v>
      </x:c>
      <x:c r="O12" s="12">
        <x:v>6.3365332826410673E-4</x:v>
      </x:c>
      <x:c r="P12" s="12">
        <x:v>2.1465006494946616E-3</x:v>
      </x:c>
      <x:c r="Q12" s="12">
        <x:v>1.996007984031936E-3</x:v>
      </x:c>
      <x:c r="R12" s="12">
        <x:v>4.4276526312454455E-3</x:v>
      </x:c>
      <x:c r="S12" t="n">
        <x:f>IF(A12="","",SUM(H12:R12))</x:f>
        <x:v>0.02811836644171974</x:v>
      </x:c>
      <x:c r="T12" t="str">
        <x:f>IF(A12="","",IF(AND(MIN(H12:R12)&gt;=0,MAX(H12:R12)&lt;=1,S12&lt;=1),"OK","CHECK"))</x:f>
        <x:v>OK</x:v>
      </x:c>
      <x:c r="U12" t="str">
        <x:f>IF(A12="","", "LOSS-"&amp;A12&amp;"-L"&amp;TEXT(B12,"00")&amp;"-"&amp;TEXT(C12,"yyyymmdd")&amp;"-"&amp;D12&amp;"-"&amp;E12)</x:f>
        <x:v>LOSS-KG01-L21-20251023-PM-ORD-2025-00020</x:v>
      </x:c>
      <x:c r="V12" t="str">
        <x:f>IF(U12="","",IF(COUNTIF($U$5:$U$120,U12)=1,"OK","CHECK"))</x:f>
        <x:v>OK</x:v>
      </x:c>
      <x:c r="W12" t="str">
        <x:f>IF(A12="","",IF(AND(T12="OK",V12="OK",G12&gt;=0),"OK","CHECK"))</x:f>
        <x:v>OK</x:v>
      </x:c>
    </x:row>
    <x:row r="13" ht="18" customHeight="1">
      <x:c r="A13" s="9" t="s">
        <x:v>31</x:v>
      </x:c>
      <x:c r="B13" s="10">
        <x:v>21</x:v>
      </x:c>
      <x:c r="C13" s="8">
        <x:v>45954</x:v>
      </x:c>
      <x:c r="D13" s="9" t="s">
        <x:v>32</x:v>
      </x:c>
      <x:c r="E13" s="9" t="s">
        <x:v>36</x:v>
      </x:c>
      <x:c r="F13" s="9" t="s">
        <x:v>34</x:v>
      </x:c>
      <x:c r="G13" s="11">
        <x:v>4499</x:v>
      </x:c>
      <x:c r="H13" s="12">
        <x:v>3.7233493366372414E-3</x:v>
      </x:c>
      <x:c r="I13" s="12">
        <x:v>6.3496980021681892E-3</x:v>
      </x:c>
      <x:c r="J13" s="12">
        <x:v>2.9102782509937536E-3</x:v>
      </x:c>
      <x:c r="K13" s="12">
        <x:v>1.9294305921222447E-3</x:v>
      </x:c>
      <x:c r="L13" s="12">
        <x:v>3.4329668060502812E-3</x:v>
      </x:c>
      <x:c r="M13" s="12">
        <x:v>2.2133601775850497E-3</x:v>
      </x:c>
      <x:c r="N13" s="12">
        <x:v>1.5035362139280367E-3</x:v>
      </x:c>
      <x:c r="O13" s="12">
        <x:v>1.2905890248309329E-3</x:v>
      </x:c>
      <x:c r="P13" s="12">
        <x:v>1.5035362139280367E-3</x:v>
      </x:c>
      <x:c r="Q13" s="12">
        <x:v>1.9423364823705539E-3</x:v>
      </x:c>
      <x:c r="R13" s="12">
        <x:v>2.2327190129575137E-3</x:v>
      </x:c>
      <x:c r="S13" t="n">
        <x:f>IF(A13="","",SUM(H13:R13))</x:f>
        <x:v>0.029031800113571836</x:v>
      </x:c>
      <x:c r="T13" t="str">
        <x:f>IF(A13="","",IF(AND(MIN(H13:R13)&gt;=0,MAX(H13:R13)&lt;=1,S13&lt;=1),"OK","CHECK"))</x:f>
        <x:v>OK</x:v>
      </x:c>
      <x:c r="U13" t="str">
        <x:f>IF(A13="","", "LOSS-"&amp;A13&amp;"-L"&amp;TEXT(B13,"00")&amp;"-"&amp;TEXT(C13,"yyyymmdd")&amp;"-"&amp;D13&amp;"-"&amp;E13)</x:f>
        <x:v>LOSS-KG01-L21-20251024-AM-ORD-2025-00020</x:v>
      </x:c>
      <x:c r="V13" t="str">
        <x:f>IF(U13="","",IF(COUNTIF($U$5:$U$120,U13)=1,"OK","CHECK"))</x:f>
        <x:v>OK</x:v>
      </x:c>
      <x:c r="W13" t="str">
        <x:f>IF(A13="","",IF(AND(T13="OK",V13="OK",G13&gt;=0),"OK","CHECK"))</x:f>
        <x:v>OK</x:v>
      </x:c>
    </x:row>
    <x:row r="14" ht="18" customHeight="1">
      <x:c r="A14" s="9" t="s">
        <x:v>31</x:v>
      </x:c>
      <x:c r="B14" s="10">
        <x:v>21</x:v>
      </x:c>
      <x:c r="C14" s="8">
        <x:v>45954</x:v>
      </x:c>
      <x:c r="D14" s="9" t="s">
        <x:v>35</x:v>
      </x:c>
      <x:c r="E14" s="9" t="s">
        <x:v>36</x:v>
      </x:c>
      <x:c r="F14" s="9" t="s">
        <x:v>34</x:v>
      </x:c>
      <x:c r="G14" s="11">
        <x:v>3759</x:v>
      </x:c>
      <x:c r="H14" s="12">
        <x:v>1.4960375222383955E-3</x:v>
      </x:c>
      <x:c r="I14" s="12">
        <x:v>6.2429241468542783E-3</x:v>
      </x:c>
      <x:c r="J14" s="12">
        <x:v>3.760310528869481E-3</x:v>
      </x:c>
      <x:c r="K14" s="12">
        <x:v>1.0997897460779556E-3</x:v>
      </x:c>
      <x:c r="L14" s="12">
        <x:v>1.4798641436196021E-3</x:v>
      </x:c>
      <x:c r="M14" s="12">
        <x:v>7.7632217370208632E-4</x:v>
      </x:c>
      <x:c r="N14" s="12">
        <x:v>1.6092511725699498E-3</x:v>
      </x:c>
      <x:c r="O14" s="12">
        <x:v>2.8546013262170469E-3</x:v>
      </x:c>
      <x:c r="P14" s="12">
        <x:v>1.8518518518518519E-3</x:v>
      </x:c>
      <x:c r="Q14" s="12">
        <x:v>6.0731036713569464E-3</x:v>
      </x:c>
      <x:c r="R14" s="12">
        <x:v>3.1538088306647259E-3</x:v>
      </x:c>
      <x:c r="S14" t="n">
        <x:f>IF(A14="","",SUM(H14:R14))</x:f>
        <x:v>0.03039786511402232</x:v>
      </x:c>
      <x:c r="T14" t="str">
        <x:f>IF(A14="","",IF(AND(MIN(H14:R14)&gt;=0,MAX(H14:R14)&lt;=1,S14&lt;=1),"OK","CHECK"))</x:f>
        <x:v>OK</x:v>
      </x:c>
      <x:c r="U14" t="str">
        <x:f>IF(A14="","", "LOSS-"&amp;A14&amp;"-L"&amp;TEXT(B14,"00")&amp;"-"&amp;TEXT(C14,"yyyymmdd")&amp;"-"&amp;D14&amp;"-"&amp;E14)</x:f>
        <x:v>LOSS-KG01-L21-20251024-PM-ORD-2025-00020</x:v>
      </x:c>
      <x:c r="V14" t="str">
        <x:f>IF(U14="","",IF(COUNTIF($U$5:$U$120,U14)=1,"OK","CHECK"))</x:f>
        <x:v>OK</x:v>
      </x:c>
      <x:c r="W14" t="str">
        <x:f>IF(A14="","",IF(AND(T14="OK",V14="OK",G14&gt;=0),"OK","CHECK"))</x:f>
        <x:v>OK</x:v>
      </x:c>
    </x:row>
    <x:row r="15" ht="18" customHeight="1">
      <x:c r="A15" s="9" t="s">
        <x:v>31</x:v>
      </x:c>
      <x:c r="B15" s="10">
        <x:v>21</x:v>
      </x:c>
      <x:c r="C15" s="8">
        <x:v>45955</x:v>
      </x:c>
      <x:c r="D15" s="9" t="s">
        <x:v>32</x:v>
      </x:c>
      <x:c r="E15" s="9" t="s">
        <x:v>38</x:v>
      </x:c>
      <x:c r="F15" s="9" t="s">
        <x:v>37</x:v>
      </x:c>
      <x:c r="G15" s="11">
        <x:v>14048</x:v>
      </x:c>
      <x:c r="H15" s="12">
        <x:v>9.4601605175623302E-3</x:v>
      </x:c>
      <x:c r="I15" s="12">
        <x:v>2.0842869785467972E-2</x:v>
      </x:c>
      <x:c r="J15" s="12">
        <x:v>7.9801031462662878E-3</x:v>
      </x:c>
      <x:c r="K15" s="12">
        <x:v>8.4302236870212703E-3</x:v>
      </x:c>
      <x:c r="L15" s="12">
        <x:v>8.6743568616680401E-3</x:v>
      </x:c>
      <x:c r="M15" s="12">
        <x:v>9.1626232109615798E-3</x:v>
      </x:c>
      <x:c r="N15" s="12">
        <x:v>5.0199884036742047E-3</x:v>
      </x:c>
      <x:c r="O15" s="12">
        <x:v>1.8004821630199274E-3</x:v>
      </x:c>
      <x:c r="P15" s="12">
        <x:v>8.0029906313894231E-3</x:v>
      </x:c>
      <x:c r="Q15" s="12">
        <x:v>2.3726692910982942E-2</x:v>
      </x:c>
      <x:c r="R15" s="12">
        <x:v>4.0739723519179717E-3</x:v>
      </x:c>
      <x:c r="S15" t="n">
        <x:f>IF(A15="","",SUM(H15:R15))</x:f>
        <x:v>0.10717446366993194</x:v>
      </x:c>
      <x:c r="T15" t="str">
        <x:f>IF(A15="","",IF(AND(MIN(H15:R15)&gt;=0,MAX(H15:R15)&lt;=1,S15&lt;=1),"OK","CHECK"))</x:f>
        <x:v>OK</x:v>
      </x:c>
      <x:c r="U15" t="str">
        <x:f>IF(A15="","", "LOSS-"&amp;A15&amp;"-L"&amp;TEXT(B15,"00")&amp;"-"&amp;TEXT(C15,"yyyymmdd")&amp;"-"&amp;D15&amp;"-"&amp;E15)</x:f>
        <x:v>LOSS-KG01-L21-20251025-AM-ORD-2025-00021</x:v>
      </x:c>
      <x:c r="V15" t="str">
        <x:f>IF(U15="","",IF(COUNTIF($U$5:$U$120,U15)=1,"OK","CHECK"))</x:f>
        <x:v>OK</x:v>
      </x:c>
      <x:c r="W15" t="str">
        <x:f>IF(A15="","",IF(AND(T15="OK",V15="OK",G15&gt;=0),"OK","CHECK"))</x:f>
        <x:v>OK</x:v>
      </x:c>
    </x:row>
    <x:row r="16" ht="18" customHeight="1">
      <x:c r="A16" s="9" t="s">
        <x:v>31</x:v>
      </x:c>
      <x:c r="B16" s="10">
        <x:v>21</x:v>
      </x:c>
      <x:c r="C16" s="8">
        <x:v>45955</x:v>
      </x:c>
      <x:c r="D16" s="9" t="s">
        <x:v>35</x:v>
      </x:c>
      <x:c r="E16" s="9" t="s">
        <x:v>38</x:v>
      </x:c>
      <x:c r="F16" s="9" t="s">
        <x:v>34</x:v>
      </x:c>
      <x:c r="G16" s="11">
        <x:v>13535</x:v>
      </x:c>
      <x:c r="H16" s="12">
        <x:v>3.2198137868240961E-3</x:v>
      </x:c>
      <x:c r="I16" s="12">
        <x:v>1.553734543425265E-2</x:v>
      </x:c>
      <x:c r="J16" s="12">
        <x:v>4.4240314858871562E-3</x:v>
      </x:c>
      <x:c r="K16" s="12">
        <x:v>2.3900784210062562E-3</x:v>
      </x:c>
      <x:c r="L16" s="12">
        <x:v>2.2248656269274825E-3</x:v>
      </x:c>
      <x:c r="M16" s="12">
        <x:v>3.8292654272035717E-3</x:v>
      </x:c>
      <x:c r="N16" s="12">
        <x:v>3.4914970481980793E-3</x:v>
      </x:c>
      <x:c r="O16" s="12">
        <x:v>8.774635063294857E-4</x:v>
      </x:c>
      <x:c r="P16" s="12">
        <x:v>2.6177049372925663E-3</x:v>
      </x:c>
      <x:c r="Q16" s="12">
        <x:v>8.5616941287044376E-3</x:v>
      </x:c>
      <x:c r="R16" s="12">
        <x:v>2.5185772608453021E-3</x:v>
      </x:c>
      <x:c r="S16" t="n">
        <x:f>IF(A16="","",SUM(H16:R16))</x:f>
        <x:v>0.049692337063471086</x:v>
      </x:c>
      <x:c r="T16" t="str">
        <x:f>IF(A16="","",IF(AND(MIN(H16:R16)&gt;=0,MAX(H16:R16)&lt;=1,S16&lt;=1),"OK","CHECK"))</x:f>
        <x:v>OK</x:v>
      </x:c>
      <x:c r="U16" t="str">
        <x:f>IF(A16="","", "LOSS-"&amp;A16&amp;"-L"&amp;TEXT(B16,"00")&amp;"-"&amp;TEXT(C16,"yyyymmdd")&amp;"-"&amp;D16&amp;"-"&amp;E16)</x:f>
        <x:v>LOSS-KG01-L21-20251025-PM-ORD-2025-00021</x:v>
      </x:c>
      <x:c r="V16" t="str">
        <x:f>IF(U16="","",IF(COUNTIF($U$5:$U$120,U16)=1,"OK","CHECK"))</x:f>
        <x:v>OK</x:v>
      </x:c>
      <x:c r="W16" t="str">
        <x:f>IF(A16="","",IF(AND(T16="OK",V16="OK",G16&gt;=0),"OK","CHECK"))</x:f>
        <x:v>OK</x:v>
      </x:c>
    </x:row>
    <x:row r="17" ht="18" customHeight="1">
      <x:c r="A17" s="9" t="s">
        <x:v>31</x:v>
      </x:c>
      <x:c r="B17" s="10">
        <x:v>21</x:v>
      </x:c>
      <x:c r="C17" s="8">
        <x:v>45956</x:v>
      </x:c>
      <x:c r="D17" s="9" t="s">
        <x:v>32</x:v>
      </x:c>
      <x:c r="E17" s="9" t="s">
        <x:v>38</x:v>
      </x:c>
      <x:c r="F17" s="9" t="s">
        <x:v>34</x:v>
      </x:c>
      <x:c r="G17" s="11">
        <x:v>12922</x:v>
      </x:c>
      <x:c r="H17" s="12">
        <x:v>4.6214740871229421E-3</x:v>
      </x:c>
      <x:c r="I17" s="12">
        <x:v>1.491195638778336E-2</x:v>
      </x:c>
      <x:c r="J17" s="12">
        <x:v>2.8490028490028491E-3</x:v>
      </x:c>
      <x:c r="K17" s="12">
        <x:v>5.824869692554171E-3</x:v>
      </x:c>
      <x:c r="L17" s="12">
        <x:v>7.5755928173230967E-4</x:v>
      </x:c>
      <x:c r="M17" s="12">
        <x:v>2.9468693590830996E-3</x:v>
      </x:c>
      <x:c r="N17" s="12">
        <x:v>9.7866510080250532E-4</x:v>
      </x:c>
      <x:c r="O17" s="12">
        <x:v>1.0982797242339228E-3</x:v>
      </x:c>
      <x:c r="P17" s="12">
        <x:v>1.7978440370297877E-3</x:v>
      </x:c>
      <x:c r="Q17" s="12">
        <x:v>5.3681593121796684E-3</x:v>
      </x:c>
      <x:c r="R17" s="12">
        <x:v>5.6835069557715865E-3</x:v>
      </x:c>
      <x:c r="S17" t="n">
        <x:f>IF(A17="","",SUM(H17:R17))</x:f>
        <x:v>0.046838186787296204</x:v>
      </x:c>
      <x:c r="T17" t="str">
        <x:f>IF(A17="","",IF(AND(MIN(H17:R17)&gt;=0,MAX(H17:R17)&lt;=1,S17&lt;=1),"OK","CHECK"))</x:f>
        <x:v>OK</x:v>
      </x:c>
      <x:c r="U17" t="str">
        <x:f>IF(A17="","", "LOSS-"&amp;A17&amp;"-L"&amp;TEXT(B17,"00")&amp;"-"&amp;TEXT(C17,"yyyymmdd")&amp;"-"&amp;D17&amp;"-"&amp;E17)</x:f>
        <x:v>LOSS-KG01-L21-20251026-AM-ORD-2025-00021</x:v>
      </x:c>
      <x:c r="V17" t="str">
        <x:f>IF(U17="","",IF(COUNTIF($U$5:$U$120,U17)=1,"OK","CHECK"))</x:f>
        <x:v>OK</x:v>
      </x:c>
      <x:c r="W17" t="str">
        <x:f>IF(A17="","",IF(AND(T17="OK",V17="OK",G17&gt;=0),"OK","CHECK"))</x:f>
        <x:v>OK</x:v>
      </x:c>
    </x:row>
    <x:row r="18" ht="18" customHeight="1">
      <x:c r="A18" s="9" t="s">
        <x:v>31</x:v>
      </x:c>
      <x:c r="B18" s="10">
        <x:v>21</x:v>
      </x:c>
      <x:c r="C18" s="8">
        <x:v>45956</x:v>
      </x:c>
      <x:c r="D18" s="9" t="s">
        <x:v>35</x:v>
      </x:c>
      <x:c r="E18" s="9" t="s">
        <x:v>38</x:v>
      </x:c>
      <x:c r="F18" s="9" t="s">
        <x:v>34</x:v>
      </x:c>
      <x:c r="G18" s="11">
        <x:v>10955</x:v>
      </x:c>
      <x:c r="H18" s="12">
        <x:v>8.8904797026624436E-3</x:v>
      </x:c>
      <x:c r="I18" s="12">
        <x:v>5.933012278189943E-3</x:v>
      </x:c>
      <x:c r="J18" s="12">
        <x:v>2.3211419150505445E-3</x:v>
      </x:c>
      <x:c r="K18" s="12">
        <x:v>2.2922180282586376E-3</x:v>
      </x:c>
      <x:c r="L18" s="12">
        <x:v>1.185879358468191E-3</x:v>
      </x:c>
      <x:c r="M18" s="12">
        <x:v>2.0789043631683226E-3</x:v>
      </x:c>
      <x:c r="N18" s="12">
        <x:v>2.0861353348662994E-3</x:v>
      </x:c>
      <x:c r="O18" s="12">
        <x:v>2.3175264292015561E-3</x:v>
      </x:c>
      <x:c r="P18" s="12">
        <x:v>4.0710370659609238E-3</x:v>
      </x:c>
      <x:c r="Q18" s="12">
        <x:v>4.5663586272723326E-3</x:v>
      </x:c>
      <x:c r="R18" s="12">
        <x:v>3.8649543725685857E-3</x:v>
      </x:c>
      <x:c r="S18" t="n">
        <x:f>IF(A18="","",SUM(H18:R18))</x:f>
        <x:v>0.03960764747566778</x:v>
      </x:c>
      <x:c r="T18" t="str">
        <x:f>IF(A18="","",IF(AND(MIN(H18:R18)&gt;=0,MAX(H18:R18)&lt;=1,S18&lt;=1),"OK","CHECK"))</x:f>
        <x:v>OK</x:v>
      </x:c>
      <x:c r="U18" t="str">
        <x:f>IF(A18="","", "LOSS-"&amp;A18&amp;"-L"&amp;TEXT(B18,"00")&amp;"-"&amp;TEXT(C18,"yyyymmdd")&amp;"-"&amp;D18&amp;"-"&amp;E18)</x:f>
        <x:v>LOSS-KG01-L21-20251026-PM-ORD-2025-00021</x:v>
      </x:c>
      <x:c r="V18" t="str">
        <x:f>IF(U18="","",IF(COUNTIF($U$5:$U$120,U18)=1,"OK","CHECK"))</x:f>
        <x:v>OK</x:v>
      </x:c>
      <x:c r="W18" t="str">
        <x:f>IF(A18="","",IF(AND(T18="OK",V18="OK",G18&gt;=0),"OK","CHECK"))</x:f>
        <x:v>OK</x:v>
      </x:c>
    </x:row>
    <x:row r="19" ht="18" customHeight="1">
      <x:c r="A19" s="9" t="s">
        <x:v>31</x:v>
      </x:c>
      <x:c r="B19" s="10">
        <x:v>22</x:v>
      </x:c>
      <x:c r="C19" s="8">
        <x:v>45950</x:v>
      </x:c>
      <x:c r="D19" s="9" t="s">
        <x:v>32</x:v>
      </x:c>
      <x:c r="E19" s="9" t="s">
        <x:v>39</x:v>
      </x:c>
      <x:c r="F19" s="9" t="s">
        <x:v>37</x:v>
      </x:c>
      <x:c r="G19" s="11">
        <x:v>3024</x:v>
      </x:c>
      <x:c r="H19" s="12">
        <x:v>6.6964285714285711E-3</x:v>
      </x:c>
      <x:c r="I19" s="12">
        <x:v>2.8980654761904763E-2</x:v>
      </x:c>
      <x:c r="J19" s="12">
        <x:v>8.4449404761904757E-3</x:v>
      </x:c>
      <x:c r="K19" s="12">
        <x:v>5.8407738095238096E-3</x:v>
      </x:c>
      <x:c r="L19" s="12">
        <x:v>1.0193452380952381E-2</x:v>
      </x:c>
      <x:c r="M19" s="12">
        <x:v>1.0193452380952381E-2</x:v>
      </x:c>
      <x:c r="N19" s="12">
        <x:v>1.2574404761904762E-2</x:v>
      </x:c>
      <x:c r="O19" s="12">
        <x:v>1.5625000000000001E-3</x:v>
      </x:c>
      <x:c r="P19" s="12">
        <x:v>1.2723214285714286E-2</x:v>
      </x:c>
      <x:c r="Q19" s="12">
        <x:v>5.6547619047619046E-3</x:v>
      </x:c>
      <x:c r="R19" s="12">
        <x:v>9.6354166666666671E-3</x:v>
      </x:c>
      <x:c r="S19" t="n">
        <x:f>IF(A19="","",SUM(H19:R19))</x:f>
        <x:v>0.11249999999999999</x:v>
      </x:c>
      <x:c r="T19" t="str">
        <x:f>IF(A19="","",IF(AND(MIN(H19:R19)&gt;=0,MAX(H19:R19)&lt;=1,S19&lt;=1),"OK","CHECK"))</x:f>
        <x:v>OK</x:v>
      </x:c>
      <x:c r="U19" t="str">
        <x:f>IF(A19="","", "LOSS-"&amp;A19&amp;"-L"&amp;TEXT(B19,"00")&amp;"-"&amp;TEXT(C19,"yyyymmdd")&amp;"-"&amp;D19&amp;"-"&amp;E19)</x:f>
        <x:v>LOSS-KG01-L22-20251020-AM-ORD-2025-00056</x:v>
      </x:c>
      <x:c r="V19" t="str">
        <x:f>IF(U19="","",IF(COUNTIF($U$5:$U$120,U19)=1,"OK","CHECK"))</x:f>
        <x:v>OK</x:v>
      </x:c>
      <x:c r="W19" t="str">
        <x:f>IF(A19="","",IF(AND(T19="OK",V19="OK",G19&gt;=0),"OK","CHECK"))</x:f>
        <x:v>OK</x:v>
      </x:c>
    </x:row>
    <x:row r="20" ht="18" customHeight="1">
      <x:c r="A20" s="9" t="s">
        <x:v>31</x:v>
      </x:c>
      <x:c r="B20" s="10">
        <x:v>22</x:v>
      </x:c>
      <x:c r="C20" s="8">
        <x:v>45950</x:v>
      </x:c>
      <x:c r="D20" s="9" t="s">
        <x:v>35</x:v>
      </x:c>
      <x:c r="E20" s="9" t="s">
        <x:v>39</x:v>
      </x:c>
      <x:c r="F20" s="9" t="s">
        <x:v>34</x:v>
      </x:c>
      <x:c r="G20" s="11">
        <x:v>8503</x:v>
      </x:c>
      <x:c r="H20" s="12">
        <x:v>6.3856470106470106E-3</x:v>
      </x:c>
      <x:c r="I20" s="12">
        <x:v>1.0384674447174447E-2</x:v>
      </x:c>
      <x:c r="J20" s="12">
        <x:v>3.3527846027846028E-3</x:v>
      </x:c>
      <x:c r="K20" s="12">
        <x:v>3.6023239148239147E-3</x:v>
      </x:c>
      <x:c r="L20" s="12">
        <x:v>5.1827395577395581E-3</x:v>
      </x:c>
      <x:c r="M20" s="12">
        <x:v>7.0574836199836198E-3</x:v>
      </x:c>
      <x:c r="N20" s="12">
        <x:v>3.3655814905814907E-3</x:v>
      </x:c>
      <x:c r="O20" s="12">
        <x:v>2.4634009009009009E-3</x:v>
      </x:c>
      <x:c r="P20" s="12">
        <x:v>2.5529791154791153E-3</x:v>
      </x:c>
      <x:c r="Q20" s="12">
        <x:v>6.8527334152334151E-3</x:v>
      </x:c>
      <x:c r="R20" s="12">
        <x:v>3.2056203931203932E-3</x:v>
      </x:c>
      <x:c r="S20" t="n">
        <x:f>IF(A20="","",SUM(H20:R20))</x:f>
        <x:v>0.05440596846846847</x:v>
      </x:c>
      <x:c r="T20" t="str">
        <x:f>IF(A20="","",IF(AND(MIN(H20:R20)&gt;=0,MAX(H20:R20)&lt;=1,S20&lt;=1),"OK","CHECK"))</x:f>
        <x:v>OK</x:v>
      </x:c>
      <x:c r="U20" t="str">
        <x:f>IF(A20="","", "LOSS-"&amp;A20&amp;"-L"&amp;TEXT(B20,"00")&amp;"-"&amp;TEXT(C20,"yyyymmdd")&amp;"-"&amp;D20&amp;"-"&amp;E20)</x:f>
        <x:v>LOSS-KG01-L22-20251020-PM-ORD-2025-00056</x:v>
      </x:c>
      <x:c r="V20" t="str">
        <x:f>IF(U20="","",IF(COUNTIF($U$5:$U$120,U20)=1,"OK","CHECK"))</x:f>
        <x:v>OK</x:v>
      </x:c>
      <x:c r="W20" t="str">
        <x:f>IF(A20="","",IF(AND(T20="OK",V20="OK",G20&gt;=0),"OK","CHECK"))</x:f>
        <x:v>OK</x:v>
      </x:c>
    </x:row>
    <x:row r="21" ht="18" customHeight="1">
      <x:c r="A21" s="9" t="s">
        <x:v>31</x:v>
      </x:c>
      <x:c r="B21" s="10">
        <x:v>22</x:v>
      </x:c>
      <x:c r="C21" s="8">
        <x:v>45951</x:v>
      </x:c>
      <x:c r="D21" s="9" t="s">
        <x:v>32</x:v>
      </x:c>
      <x:c r="E21" s="9" t="s">
        <x:v>39</x:v>
      </x:c>
      <x:c r="F21" s="9" t="s">
        <x:v>34</x:v>
      </x:c>
      <x:c r="G21" s="11">
        <x:v>5551</x:v>
      </x:c>
      <x:c r="H21" s="12">
        <x:v>5.6506849315068495E-3</x:v>
      </x:c>
      <x:c r="I21" s="12">
        <x:v>8.4332191780821918E-3</x:v>
      </x:c>
      <x:c r="J21" s="12">
        <x:v>4.0953196347031963E-3</x:v>
      </x:c>
      <x:c r="K21" s="12">
        <x:v>2.3901255707762556E-3</x:v>
      </x:c>
      <x:c r="L21" s="12">
        <x:v>2.7682648401826486E-3</x:v>
      </x:c>
      <x:c r="M21" s="12">
        <x:v>3.1035958904109587E-3</x:v>
      </x:c>
      <x:c r="N21" s="12">
        <x:v>4.3022260273972599E-3</x:v>
      </x:c>
      <x:c r="O21" s="12">
        <x:v>1.8550228310502284E-4</x:v>
      </x:c>
      <x:c r="P21" s="12">
        <x:v>2.6184360730593607E-3</x:v>
      </x:c>
      <x:c r="Q21" s="12">
        <x:v>3.132134703196347E-3</x:v>
      </x:c>
      <x:c r="R21" s="12">
        <x:v>2.9252283105022829E-3</x:v>
      </x:c>
      <x:c r="S21" t="n">
        <x:f>IF(A21="","",SUM(H21:R21))</x:f>
        <x:v>0.03960473744292238</x:v>
      </x:c>
      <x:c r="T21" t="str">
        <x:f>IF(A21="","",IF(AND(MIN(H21:R21)&gt;=0,MAX(H21:R21)&lt;=1,S21&lt;=1),"OK","CHECK"))</x:f>
        <x:v>OK</x:v>
      </x:c>
      <x:c r="U21" t="str">
        <x:f>IF(A21="","", "LOSS-"&amp;A21&amp;"-L"&amp;TEXT(B21,"00")&amp;"-"&amp;TEXT(C21,"yyyymmdd")&amp;"-"&amp;D21&amp;"-"&amp;E21)</x:f>
        <x:v>LOSS-KG01-L22-20251021-AM-ORD-2025-00056</x:v>
      </x:c>
      <x:c r="V21" t="str">
        <x:f>IF(U21="","",IF(COUNTIF($U$5:$U$120,U21)=1,"OK","CHECK"))</x:f>
        <x:v>OK</x:v>
      </x:c>
      <x:c r="W21" t="str">
        <x:f>IF(A21="","",IF(AND(T21="OK",V21="OK",G21&gt;=0),"OK","CHECK"))</x:f>
        <x:v>OK</x:v>
      </x:c>
    </x:row>
    <x:row r="22" ht="18" customHeight="1">
      <x:c r="A22" s="9" t="s">
        <x:v>31</x:v>
      </x:c>
      <x:c r="B22" s="10">
        <x:v>22</x:v>
      </x:c>
      <x:c r="C22" s="8">
        <x:v>45951</x:v>
      </x:c>
      <x:c r="D22" s="9" t="s">
        <x:v>35</x:v>
      </x:c>
      <x:c r="E22" s="9" t="s">
        <x:v>39</x:v>
      </x:c>
      <x:c r="F22" s="9" t="s">
        <x:v>34</x:v>
      </x:c>
      <x:c r="G22" s="11">
        <x:v>6335</x:v>
      </x:c>
      <x:c r="H22" s="12">
        <x:v>3.0394698934024778E-3</x:v>
      </x:c>
      <x:c r="I22" s="12">
        <x:v>1.2676462114664363E-2</x:v>
      </x:c>
      <x:c r="J22" s="12">
        <x:v>8.1316623451454916E-3</x:v>
      </x:c>
      <x:c r="K22" s="12">
        <x:v>1.3036588879285509E-3</x:v>
      </x:c>
      <x:c r="L22" s="12">
        <x:v>2.3624315759147221E-3</x:v>
      </x:c>
      <x:c r="M22" s="12">
        <x:v>1.3468740996830885E-3</x:v>
      </x:c>
      <x:c r="N22" s="12">
        <x:v>2.0023048112935752E-3</x:v>
      </x:c>
      <x:c r="O22" s="12">
        <x:v>2.3264188994526072E-3</x:v>
      </x:c>
      <x:c r="P22" s="12">
        <x:v>4.7392682224142897E-3</x:v>
      </x:c>
      <x:c r="Q22" s="12">
        <x:v>4.9049265341400174E-3</x:v>
      </x:c>
      <x:c r="R22" s="12">
        <x:v>2.7945836934600982E-3</x:v>
      </x:c>
      <x:c r="S22" t="n">
        <x:f>IF(A22="","",SUM(H22:R22))</x:f>
        <x:v>0.04562806107749928</x:v>
      </x:c>
      <x:c r="T22" t="str">
        <x:f>IF(A22="","",IF(AND(MIN(H22:R22)&gt;=0,MAX(H22:R22)&lt;=1,S22&lt;=1),"OK","CHECK"))</x:f>
        <x:v>OK</x:v>
      </x:c>
      <x:c r="U22" t="str">
        <x:f>IF(A22="","", "LOSS-"&amp;A22&amp;"-L"&amp;TEXT(B22,"00")&amp;"-"&amp;TEXT(C22,"yyyymmdd")&amp;"-"&amp;D22&amp;"-"&amp;E22)</x:f>
        <x:v>LOSS-KG01-L22-20251021-PM-ORD-2025-00056</x:v>
      </x:c>
      <x:c r="V22" t="str">
        <x:f>IF(U22="","",IF(COUNTIF($U$5:$U$120,U22)=1,"OK","CHECK"))</x:f>
        <x:v>OK</x:v>
      </x:c>
      <x:c r="W22" t="str">
        <x:f>IF(A22="","",IF(AND(T22="OK",V22="OK",G22&gt;=0),"OK","CHECK"))</x:f>
        <x:v>OK</x:v>
      </x:c>
    </x:row>
    <x:row r="23" ht="18" customHeight="1">
      <x:c r="A23" s="9" t="s">
        <x:v>31</x:v>
      </x:c>
      <x:c r="B23" s="10">
        <x:v>22</x:v>
      </x:c>
      <x:c r="C23" s="8">
        <x:v>45952</x:v>
      </x:c>
      <x:c r="D23" s="9" t="s">
        <x:v>32</x:v>
      </x:c>
      <x:c r="E23" s="9" t="s">
        <x:v>40</x:v>
      </x:c>
      <x:c r="F23" s="9" t="s">
        <x:v>34</x:v>
      </x:c>
      <x:c r="G23" s="11">
        <x:v>7192</x:v>
      </x:c>
      <x:c r="H23" s="12">
        <x:v>8.285017267053196E-3</x:v>
      </x:c>
      <x:c r="I23" s="12">
        <x:v>1.0193897918448817E-2</x:v>
      </x:c>
      <x:c r="J23" s="12">
        <x:v>4.7999239616006084E-3</x:v>
      </x:c>
      <x:c r="K23" s="12">
        <x:v>4.7127966289642938E-3</x:v>
      </x:c>
      <x:c r="L23" s="12">
        <x:v>6.9781072775084753E-3</x:v>
      </x:c>
      <x:c r="M23" s="12">
        <x:v>3.3346006399898615E-3</x:v>
      </x:c>
      <x:c r="N23" s="12">
        <x:v>7.9206666033013336E-4</x:v>
      </x:c>
      <x:c r="O23" s="12">
        <x:v>2.700947311725755E-3</x:v>
      </x:c>
      <x:c r="P23" s="12">
        <x:v>2.3682793143870989E-3</x:v>
      </x:c>
      <x:c r="Q23" s="12">
        <x:v>1.0288945917688433E-2</x:v>
      </x:c>
      <x:c r="R23" s="12">
        <x:v>2.5108513132465226E-3</x:v>
      </x:c>
      <x:c r="S23" t="n">
        <x:f>IF(A23="","",SUM(H23:R23))</x:f>
        <x:v>0.05696543421094319</x:v>
      </x:c>
      <x:c r="T23" t="str">
        <x:f>IF(A23="","",IF(AND(MIN(H23:R23)&gt;=0,MAX(H23:R23)&lt;=1,S23&lt;=1),"OK","CHECK"))</x:f>
        <x:v>OK</x:v>
      </x:c>
      <x:c r="U23" t="str">
        <x:f>IF(A23="","", "LOSS-"&amp;A23&amp;"-L"&amp;TEXT(B23,"00")&amp;"-"&amp;TEXT(C23,"yyyymmdd")&amp;"-"&amp;D23&amp;"-"&amp;E23)</x:f>
        <x:v>LOSS-KG01-L22-20251022-AM-ORD-2025-00057</x:v>
      </x:c>
      <x:c r="V23" t="str">
        <x:f>IF(U23="","",IF(COUNTIF($U$5:$U$120,U23)=1,"OK","CHECK"))</x:f>
        <x:v>OK</x:v>
      </x:c>
      <x:c r="W23" t="str">
        <x:f>IF(A23="","",IF(AND(T23="OK",V23="OK",G23&gt;=0),"OK","CHECK"))</x:f>
        <x:v>OK</x:v>
      </x:c>
    </x:row>
    <x:row r="24" ht="18" customHeight="1">
      <x:c r="A24" s="9" t="s">
        <x:v>31</x:v>
      </x:c>
      <x:c r="B24" s="10">
        <x:v>22</x:v>
      </x:c>
      <x:c r="C24" s="8">
        <x:v>45952</x:v>
      </x:c>
      <x:c r="D24" s="9" t="s">
        <x:v>35</x:v>
      </x:c>
      <x:c r="E24" s="9" t="s">
        <x:v>40</x:v>
      </x:c>
      <x:c r="F24" s="9" t="s">
        <x:v>34</x:v>
      </x:c>
      <x:c r="G24" s="11">
        <x:v>5375</x:v>
      </x:c>
      <x:c r="H24" s="12">
        <x:v>5.0533448673587078E-3</x:v>
      </x:c>
      <x:c r="I24" s="12">
        <x:v>8.6000576701268736E-3</x:v>
      </x:c>
      <x:c r="J24" s="12">
        <x:v>4.0224913494809689E-3</x:v>
      </x:c>
      <x:c r="K24" s="12">
        <x:v>1.2399077277970012E-3</x:v>
      </x:c>
      <x:c r="L24" s="12">
        <x:v>5.8102652825836217E-3</x:v>
      </x:c>
      <x:c r="M24" s="12">
        <x:v>2.4149365628604383E-3</x:v>
      </x:c>
      <x:c r="N24" s="12">
        <x:v>1.0308535178777394E-3</x:v>
      </x:c>
      <x:c r="O24" s="12">
        <x:v>1.1101499423298731E-3</x:v>
      </x:c>
      <x:c r="P24" s="12">
        <x:v>1.2038638985005768E-3</x:v>
      </x:c>
      <x:c r="Q24" s="12">
        <x:v>5.3200692041522491E-3</x:v>
      </x:c>
      <x:c r="R24" s="12">
        <x:v>2.9411764705882353E-3</x:v>
      </x:c>
      <x:c r="S24" t="n">
        <x:f>IF(A24="","",SUM(H24:R24))</x:f>
        <x:v>0.03874711649365628</x:v>
      </x:c>
      <x:c r="T24" t="str">
        <x:f>IF(A24="","",IF(AND(MIN(H24:R24)&gt;=0,MAX(H24:R24)&lt;=1,S24&lt;=1),"OK","CHECK"))</x:f>
        <x:v>OK</x:v>
      </x:c>
      <x:c r="U24" t="str">
        <x:f>IF(A24="","", "LOSS-"&amp;A24&amp;"-L"&amp;TEXT(B24,"00")&amp;"-"&amp;TEXT(C24,"yyyymmdd")&amp;"-"&amp;D24&amp;"-"&amp;E24)</x:f>
        <x:v>LOSS-KG01-L22-20251022-PM-ORD-2025-00057</x:v>
      </x:c>
      <x:c r="V24" t="str">
        <x:f>IF(U24="","",IF(COUNTIF($U$5:$U$120,U24)=1,"OK","CHECK"))</x:f>
        <x:v>OK</x:v>
      </x:c>
      <x:c r="W24" t="str">
        <x:f>IF(A24="","",IF(AND(T24="OK",V24="OK",G24&gt;=0),"OK","CHECK"))</x:f>
        <x:v>OK</x:v>
      </x:c>
    </x:row>
    <x:row r="25" ht="18" customHeight="1">
      <x:c r="A25" s="9" t="s">
        <x:v>31</x:v>
      </x:c>
      <x:c r="B25" s="10">
        <x:v>22</x:v>
      </x:c>
      <x:c r="C25" s="8">
        <x:v>45953</x:v>
      </x:c>
      <x:c r="D25" s="9" t="s">
        <x:v>32</x:v>
      </x:c>
      <x:c r="E25" s="9" t="s">
        <x:v>40</x:v>
      </x:c>
      <x:c r="F25" s="9" t="s">
        <x:v>34</x:v>
      </x:c>
      <x:c r="G25" s="11">
        <x:v>6927</x:v>
      </x:c>
      <x:c r="H25" s="12">
        <x:v>4.8646723646723648E-3</x:v>
      </x:c>
      <x:c r="I25" s="12">
        <x:v>1.3482905982905982E-2</x:v>
      </x:c>
      <x:c r="J25" s="12">
        <x:v>4.0028490028490024E-3</x:v>
      </x:c>
      <x:c r="K25" s="12">
        <x:v>5.2706552706552707E-3</x:v>
      </x:c>
      <x:c r="L25" s="12">
        <x:v>5.3917378917378916E-3</x:v>
      </x:c>
      <x:c r="M25" s="12">
        <x:v>2.905982905982906E-3</x:v>
      </x:c>
      <x:c r="N25" s="12">
        <x:v>2.4928774928774928E-3</x:v>
      </x:c>
      <x:c r="O25" s="12">
        <x:v>1.745014245014245E-3</x:v>
      </x:c>
      <x:c r="P25" s="12">
        <x:v>1.2037037037037038E-3</x:v>
      </x:c>
      <x:c r="Q25" s="12">
        <x:v>4.7150997150997151E-3</x:v>
      </x:c>
      <x:c r="R25" s="12">
        <x:v>3.2621082621082623E-3</x:v>
      </x:c>
      <x:c r="S25" t="n">
        <x:f>IF(A25="","",SUM(H25:R25))</x:f>
        <x:v>0.04933760683760685</x:v>
      </x:c>
      <x:c r="T25" t="str">
        <x:f>IF(A25="","",IF(AND(MIN(H25:R25)&gt;=0,MAX(H25:R25)&lt;=1,S25&lt;=1),"OK","CHECK"))</x:f>
        <x:v>OK</x:v>
      </x:c>
      <x:c r="U25" t="str">
        <x:f>IF(A25="","", "LOSS-"&amp;A25&amp;"-L"&amp;TEXT(B25,"00")&amp;"-"&amp;TEXT(C25,"yyyymmdd")&amp;"-"&amp;D25&amp;"-"&amp;E25)</x:f>
        <x:v>LOSS-KG01-L22-20251023-AM-ORD-2025-00057</x:v>
      </x:c>
      <x:c r="V25" t="str">
        <x:f>IF(U25="","",IF(COUNTIF($U$5:$U$120,U25)=1,"OK","CHECK"))</x:f>
        <x:v>OK</x:v>
      </x:c>
      <x:c r="W25" t="str">
        <x:f>IF(A25="","",IF(AND(T25="OK",V25="OK",G25&gt;=0),"OK","CHECK"))</x:f>
        <x:v>OK</x:v>
      </x:c>
    </x:row>
    <x:row r="26" ht="18" customHeight="1">
      <x:c r="A26" s="9" t="s">
        <x:v>31</x:v>
      </x:c>
      <x:c r="B26" s="10">
        <x:v>22</x:v>
      </x:c>
      <x:c r="C26" s="8">
        <x:v>45953</x:v>
      </x:c>
      <x:c r="D26" s="9" t="s">
        <x:v>35</x:v>
      </x:c>
      <x:c r="E26" s="9" t="s">
        <x:v>40</x:v>
      </x:c>
      <x:c r="F26" s="9" t="s">
        <x:v>34</x:v>
      </x:c>
      <x:c r="G26" s="11">
        <x:v>8020</x:v>
      </x:c>
      <x:c r="H26" s="12">
        <x:v>8.1917303879920703E-3</x:v>
      </x:c>
      <x:c r="I26" s="12">
        <x:v>1.2022090059473236E-2</x:v>
      </x:c>
      <x:c r="J26" s="12">
        <x:v>3.6037949589351457E-3</x:v>
      </x:c>
      <x:c r="K26" s="12">
        <x:v>2.4709713962050412E-3</x:v>
      </x:c>
      <x:c r="L26" s="12">
        <x:v>4.269328802039082E-3</x:v>
      </x:c>
      <x:c r="M26" s="12">
        <x:v>2.9453412630982725E-3</x:v>
      </x:c>
      <x:c r="N26" s="12">
        <x:v>5.4163126593033137E-3</x:v>
      </x:c>
      <x:c r="O26" s="12">
        <x:v>4.3118096856414609E-3</x:v>
      </x:c>
      <x:c r="P26" s="12">
        <x:v>2.8532993486264516E-3</x:v>
      </x:c>
      <x:c r="Q26" s="12">
        <x:v>8.3050127442650806E-3</x:v>
      </x:c>
      <x:c r="R26" s="12">
        <x:v>2.3930897762673466E-3</x:v>
      </x:c>
      <x:c r="S26" t="n">
        <x:f>IF(A26="","",SUM(H26:R26))</x:f>
        <x:v>0.05678278108184649</x:v>
      </x:c>
      <x:c r="T26" t="str">
        <x:f>IF(A26="","",IF(AND(MIN(H26:R26)&gt;=0,MAX(H26:R26)&lt;=1,S26&lt;=1),"OK","CHECK"))</x:f>
        <x:v>OK</x:v>
      </x:c>
      <x:c r="U26" t="str">
        <x:f>IF(A26="","", "LOSS-"&amp;A26&amp;"-L"&amp;TEXT(B26,"00")&amp;"-"&amp;TEXT(C26,"yyyymmdd")&amp;"-"&amp;D26&amp;"-"&amp;E26)</x:f>
        <x:v>LOSS-KG01-L22-20251023-PM-ORD-2025-00057</x:v>
      </x:c>
      <x:c r="V26" t="str">
        <x:f>IF(U26="","",IF(COUNTIF($U$5:$U$120,U26)=1,"OK","CHECK"))</x:f>
        <x:v>OK</x:v>
      </x:c>
      <x:c r="W26" t="str">
        <x:f>IF(A26="","",IF(AND(T26="OK",V26="OK",G26&gt;=0),"OK","CHECK"))</x:f>
        <x:v>OK</x:v>
      </x:c>
    </x:row>
    <x:row r="27" ht="18" customHeight="1">
      <x:c r="A27" s="9" t="s">
        <x:v>31</x:v>
      </x:c>
      <x:c r="B27" s="10">
        <x:v>22</x:v>
      </x:c>
      <x:c r="C27" s="8">
        <x:v>45954</x:v>
      </x:c>
      <x:c r="D27" s="9" t="s">
        <x:v>32</x:v>
      </x:c>
      <x:c r="E27" s="9" t="s">
        <x:v>40</x:v>
      </x:c>
      <x:c r="F27" s="9" t="s">
        <x:v>34</x:v>
      </x:c>
      <x:c r="G27" s="11">
        <x:v>5092</x:v>
      </x:c>
      <x:c r="H27" s="12">
        <x:v>4.3049645390070921E-3</x:v>
      </x:c>
      <x:c r="I27" s="12">
        <x:v>1.0085106382978723E-2</x:v>
      </x:c>
      <x:c r="J27" s="12">
        <x:v>5.6737588652482269E-4</x:v>
      </x:c>
      <x:c r="K27" s="12">
        <x:v>1.950354609929078E-3</x:v>
      </x:c>
      <x:c r="L27" s="12">
        <x:v>3.1843971631205672E-3</x:v>
      </x:c>
      <x:c r="M27" s="12">
        <x:v>4.0212765957446809E-3</x:v>
      </x:c>
      <x:c r="N27" s="12">
        <x:v>2.3404255319148937E-4</x:v>
      </x:c>
      <x:c r="O27" s="12">
        <x:v>1.0780141843971631E-3</x:v>
      </x:c>
      <x:c r="P27" s="12">
        <x:v>2.0212765957446808E-3</x:v>
      </x:c>
      <x:c r="Q27" s="12">
        <x:v>6.6950354609929081E-3</x:v>
      </x:c>
      <x:c r="R27" s="12">
        <x:v>1.971631205673759E-3</x:v>
      </x:c>
      <x:c r="S27" t="n">
        <x:f>IF(A27="","",SUM(H27:R27))</x:f>
        <x:v>0.03611347517730496</x:v>
      </x:c>
      <x:c r="T27" t="str">
        <x:f>IF(A27="","",IF(AND(MIN(H27:R27)&gt;=0,MAX(H27:R27)&lt;=1,S27&lt;=1),"OK","CHECK"))</x:f>
        <x:v>OK</x:v>
      </x:c>
      <x:c r="U27" t="str">
        <x:f>IF(A27="","", "LOSS-"&amp;A27&amp;"-L"&amp;TEXT(B27,"00")&amp;"-"&amp;TEXT(C27,"yyyymmdd")&amp;"-"&amp;D27&amp;"-"&amp;E27)</x:f>
        <x:v>LOSS-KG01-L22-20251024-AM-ORD-2025-00057</x:v>
      </x:c>
      <x:c r="V27" t="str">
        <x:f>IF(U27="","",IF(COUNTIF($U$5:$U$120,U27)=1,"OK","CHECK"))</x:f>
        <x:v>OK</x:v>
      </x:c>
      <x:c r="W27" t="str">
        <x:f>IF(A27="","",IF(AND(T27="OK",V27="OK",G27&gt;=0),"OK","CHECK"))</x:f>
        <x:v>OK</x:v>
      </x:c>
    </x:row>
    <x:row r="28" ht="18" customHeight="1">
      <x:c r="A28" s="9" t="s">
        <x:v>31</x:v>
      </x:c>
      <x:c r="B28" s="10">
        <x:v>22</x:v>
      </x:c>
      <x:c r="C28" s="8">
        <x:v>45954</x:v>
      </x:c>
      <x:c r="D28" s="9" t="s">
        <x:v>35</x:v>
      </x:c>
      <x:c r="E28" s="9" t="s">
        <x:v>40</x:v>
      </x:c>
      <x:c r="F28" s="9" t="s">
        <x:v>34</x:v>
      </x:c>
      <x:c r="G28" s="11">
        <x:v>5309</x:v>
      </x:c>
      <x:c r="H28" s="12">
        <x:v>6.4346694595195019E-3</x:v>
      </x:c>
      <x:c r="I28" s="12">
        <x:v>1.030657907264591E-2</x:v>
      </x:c>
      <x:c r="J28" s="12">
        <x:v>3.7290932749373196E-3</x:v>
      </x:c>
      <x:c r="K28" s="12">
        <x:v>1.5471769970484624E-3</x:v>
      </x:c>
      <x:c r="L28" s="12">
        <x:v>3.403789393506617E-3</x:v>
      </x:c>
      <x:c r="M28" s="12">
        <x:v>1.3964264178488687E-3</x:v>
      </x:c>
      <x:c r="N28" s="12">
        <x:v>7.6168713700847373E-4</x:v>
      </x:c>
      <x:c r="O28" s="12">
        <x:v>1.22187311561776E-3</x:v>
      </x:c>
      <x:c r="P28" s="12">
        <x:v>3.0150115839918754E-3</x:v>
      </x:c>
      <x:c r="Q28" s="12">
        <x:v>6.3632612904249578E-3</x:v>
      </x:c>
      <x:c r="R28" s="12">
        <x:v>3.9433177822209529E-3</x:v>
      </x:c>
      <x:c r="S28" t="n">
        <x:f>IF(A28="","",SUM(H28:R28))</x:f>
        <x:v>0.0421228855247707</x:v>
      </x:c>
      <x:c r="T28" t="str">
        <x:f>IF(A28="","",IF(AND(MIN(H28:R28)&gt;=0,MAX(H28:R28)&lt;=1,S28&lt;=1),"OK","CHECK"))</x:f>
        <x:v>OK</x:v>
      </x:c>
      <x:c r="U28" t="str">
        <x:f>IF(A28="","", "LOSS-"&amp;A28&amp;"-L"&amp;TEXT(B28,"00")&amp;"-"&amp;TEXT(C28,"yyyymmdd")&amp;"-"&amp;D28&amp;"-"&amp;E28)</x:f>
        <x:v>LOSS-KG01-L22-20251024-PM-ORD-2025-00057</x:v>
      </x:c>
      <x:c r="V28" t="str">
        <x:f>IF(U28="","",IF(COUNTIF($U$5:$U$120,U28)=1,"OK","CHECK"))</x:f>
        <x:v>OK</x:v>
      </x:c>
      <x:c r="W28" t="str">
        <x:f>IF(A28="","",IF(AND(T28="OK",V28="OK",G28&gt;=0),"OK","CHECK"))</x:f>
        <x:v>OK</x:v>
      </x:c>
    </x:row>
    <x:row r="29" ht="18" customHeight="1">
      <x:c r="A29" s="9" t="s">
        <x:v>31</x:v>
      </x:c>
      <x:c r="B29" s="10">
        <x:v>22</x:v>
      </x:c>
      <x:c r="C29" s="8">
        <x:v>45955</x:v>
      </x:c>
      <x:c r="D29" s="9" t="s">
        <x:v>32</x:v>
      </x:c>
      <x:c r="E29" s="9" t="s">
        <x:v>40</x:v>
      </x:c>
      <x:c r="F29" s="9" t="s">
        <x:v>34</x:v>
      </x:c>
      <x:c r="G29" s="11">
        <x:v>6188</x:v>
      </x:c>
      <x:c r="H29" s="12">
        <x:v>5.260196905766526E-3</x:v>
      </x:c>
      <x:c r="I29" s="12">
        <x:v>8.9873417721518991E-3</x:v>
      </x:c>
      <x:c r="J29" s="12">
        <x:v>5.1265822784810127E-3</x:v>
      </x:c>
      <x:c r="K29" s="12">
        <x:v>3.1082981715893107E-3</x:v>
      </x:c>
      <x:c r="L29" s="12">
        <x:v>4.8382559774964836E-3</x:v>
      </x:c>
      <x:c r="M29" s="12">
        <x:v>2.20112517580872E-3</x:v>
      </x:c>
      <x:c r="N29" s="12">
        <x:v>2.6652601969057665E-3</x:v>
      </x:c>
      <x:c r="O29" s="12">
        <x:v>1.4627285513361462E-3</x:v>
      </x:c>
      <x:c r="P29" s="12">
        <x:v>3.6286919831223629E-3</x:v>
      </x:c>
      <x:c r="Q29" s="12">
        <x:v>5.2390998593530242E-3</x:v>
      </x:c>
      <x:c r="R29" s="12">
        <x:v>9.985935302390999E-4</x:v>
      </x:c>
      <x:c r="S29" t="n">
        <x:f>IF(A29="","",SUM(H29:R29))</x:f>
        <x:v>0.043516174402250356</x:v>
      </x:c>
      <x:c r="T29" t="str">
        <x:f>IF(A29="","",IF(AND(MIN(H29:R29)&gt;=0,MAX(H29:R29)&lt;=1,S29&lt;=1),"OK","CHECK"))</x:f>
        <x:v>OK</x:v>
      </x:c>
      <x:c r="U29" t="str">
        <x:f>IF(A29="","", "LOSS-"&amp;A29&amp;"-L"&amp;TEXT(B29,"00")&amp;"-"&amp;TEXT(C29,"yyyymmdd")&amp;"-"&amp;D29&amp;"-"&amp;E29)</x:f>
        <x:v>LOSS-KG01-L22-20251025-AM-ORD-2025-00057</x:v>
      </x:c>
      <x:c r="V29" t="str">
        <x:f>IF(U29="","",IF(COUNTIF($U$5:$U$120,U29)=1,"OK","CHECK"))</x:f>
        <x:v>OK</x:v>
      </x:c>
      <x:c r="W29" t="str">
        <x:f>IF(A29="","",IF(AND(T29="OK",V29="OK",G29&gt;=0),"OK","CHECK"))</x:f>
        <x:v>OK</x:v>
      </x:c>
    </x:row>
    <x:row r="30" ht="18" customHeight="1">
      <x:c r="A30" s="9" t="s">
        <x:v>31</x:v>
      </x:c>
      <x:c r="B30" s="10">
        <x:v>22</x:v>
      </x:c>
      <x:c r="C30" s="8">
        <x:v>45955</x:v>
      </x:c>
      <x:c r="D30" s="9" t="s">
        <x:v>35</x:v>
      </x:c>
      <x:c r="E30" s="9" t="s">
        <x:v>40</x:v>
      </x:c>
      <x:c r="F30" s="9" t="s">
        <x:v>34</x:v>
      </x:c>
      <x:c r="G30" s="11">
        <x:v>5745</x:v>
      </x:c>
      <x:c r="H30" s="12">
        <x:v>4.8898655768884773E-3</x:v>
      </x:c>
      <x:c r="I30" s="12">
        <x:v>5.6288071555247125E-3</x:v>
      </x:c>
      <x:c r="J30" s="12">
        <x:v>2.6409129462564578E-3</x:v>
      </x:c>
      <x:c r="K30" s="12">
        <x:v>4.0738170509162872E-3</x:v>
      </x:c>
      <x:c r="L30" s="12">
        <x:v>6.1107255763744317E-3</x:v>
      </x:c>
      <x:c r="M30" s="12">
        <x:v>1.9855038939008405E-3</x:v>
      </x:c>
      <x:c r="N30" s="12">
        <x:v>6.8111136813426892E-4</x:v>
      </x:c>
      <x:c r="O30" s="12">
        <x:v>8.7387873647415632E-4</x:v>
      </x:c>
      <x:c r="P30" s="12">
        <x:v>2.3003572621893235E-3</x:v>
      </x:c>
      <x:c r="Q30" s="12">
        <x:v>1.869843472896908E-3</x:v>
      </x:c>
      <x:c r="R30" s="12">
        <x:v>5.8601279975325779E-3</x:v>
      </x:c>
      <x:c r="S30" t="n">
        <x:f>IF(A30="","",SUM(H30:R30))</x:f>
        <x:v>0.036914951037088445</x:v>
      </x:c>
      <x:c r="T30" t="str">
        <x:f>IF(A30="","",IF(AND(MIN(H30:R30)&gt;=0,MAX(H30:R30)&lt;=1,S30&lt;=1),"OK","CHECK"))</x:f>
        <x:v>OK</x:v>
      </x:c>
      <x:c r="U30" t="str">
        <x:f>IF(A30="","", "LOSS-"&amp;A30&amp;"-L"&amp;TEXT(B30,"00")&amp;"-"&amp;TEXT(C30,"yyyymmdd")&amp;"-"&amp;D30&amp;"-"&amp;E30)</x:f>
        <x:v>LOSS-KG01-L22-20251025-PM-ORD-2025-00057</x:v>
      </x:c>
      <x:c r="V30" t="str">
        <x:f>IF(U30="","",IF(COUNTIF($U$5:$U$120,U30)=1,"OK","CHECK"))</x:f>
        <x:v>OK</x:v>
      </x:c>
      <x:c r="W30" t="str">
        <x:f>IF(A30="","",IF(AND(T30="OK",V30="OK",G30&gt;=0),"OK","CHECK"))</x:f>
        <x:v>OK</x:v>
      </x:c>
    </x:row>
    <x:row r="31" ht="18" customHeight="1">
      <x:c r="A31" s="9" t="s">
        <x:v>31</x:v>
      </x:c>
      <x:c r="B31" s="10">
        <x:v>22</x:v>
      </x:c>
      <x:c r="C31" s="8">
        <x:v>45956</x:v>
      </x:c>
      <x:c r="D31" s="9" t="s">
        <x:v>32</x:v>
      </x:c>
      <x:c r="E31" s="9" t="s">
        <x:v>41</x:v>
      </x:c>
      <x:c r="F31" s="9" t="s">
        <x:v>37</x:v>
      </x:c>
      <x:c r="G31" s="11">
        <x:v>15579</x:v>
      </x:c>
      <x:c r="H31" s="12">
        <x:v>6.5935538202419233E-3</x:v>
      </x:c>
      <x:c r="I31" s="12">
        <x:v>2.6000995253406829E-2</x:v>
      </x:c>
      <x:c r="J31" s="12">
        <x:v>1.387612922982698E-2</x:v>
      </x:c>
      <x:c r="K31" s="12">
        <x:v>1.4526871841984382E-2</x:v>
      </x:c>
      <x:c r="L31" s="12">
        <x:v>1.934045322308988E-2</x:v>
      </x:c>
      <x:c r="M31" s="12">
        <x:v>1.1588960342979635E-2</x:v>
      </x:c>
      <x:c r="N31" s="12">
        <x:v>1.9043791149900475E-3</x:v>
      </x:c>
      <x:c r="O31" s="12">
        <x:v>9.9429643239932631E-3</x:v>
      </x:c>
      <x:c r="P31" s="12">
        <x:v>1.1751645996018986E-2</x:v>
      </x:c>
      <x:c r="Q31" s="12">
        <x:v>1.7340376665135507E-2</x:v>
      </x:c>
      <x:c r="R31" s="12">
        <x:v>1.6220716582452915E-2</x:v>
      </x:c>
      <x:c r="S31" t="n">
        <x:f>IF(A31="","",SUM(H31:R31))</x:f>
        <x:v>0.14908704639412032</x:v>
      </x:c>
      <x:c r="T31" t="str">
        <x:f>IF(A31="","",IF(AND(MIN(H31:R31)&gt;=0,MAX(H31:R31)&lt;=1,S31&lt;=1),"OK","CHECK"))</x:f>
        <x:v>OK</x:v>
      </x:c>
      <x:c r="U31" t="str">
        <x:f>IF(A31="","", "LOSS-"&amp;A31&amp;"-L"&amp;TEXT(B31,"00")&amp;"-"&amp;TEXT(C31,"yyyymmdd")&amp;"-"&amp;D31&amp;"-"&amp;E31)</x:f>
        <x:v>LOSS-KG01-L22-20251026-AM-ORD-2025-00058</x:v>
      </x:c>
      <x:c r="V31" t="str">
        <x:f>IF(U31="","",IF(COUNTIF($U$5:$U$120,U31)=1,"OK","CHECK"))</x:f>
        <x:v>OK</x:v>
      </x:c>
      <x:c r="W31" t="str">
        <x:f>IF(A31="","",IF(AND(T31="OK",V31="OK",G31&gt;=0),"OK","CHECK"))</x:f>
        <x:v>OK</x:v>
      </x:c>
    </x:row>
    <x:row r="32" ht="18" customHeight="1">
      <x:c r="A32" s="9" t="s">
        <x:v>31</x:v>
      </x:c>
      <x:c r="B32" s="10">
        <x:v>22</x:v>
      </x:c>
      <x:c r="C32" s="8">
        <x:v>45956</x:v>
      </x:c>
      <x:c r="D32" s="9" t="s">
        <x:v>35</x:v>
      </x:c>
      <x:c r="E32" s="9" t="s">
        <x:v>41</x:v>
      </x:c>
      <x:c r="F32" s="9" t="s">
        <x:v>34</x:v>
      </x:c>
      <x:c r="G32" s="11">
        <x:v>8405</x:v>
      </x:c>
      <x:c r="H32" s="12">
        <x:v>3.2096667610686303E-3</x:v>
      </x:c>
      <x:c r="I32" s="12">
        <x:v>4.8941517983574056E-3</x:v>
      </x:c>
      <x:c r="J32" s="12">
        <x:v>2.6373548569810254E-3</x:v>
      </x:c>
      <x:c r="K32" s="12">
        <x:v>7.4931558576418387E-4</x:v>
      </x:c>
      <x:c r="L32" s="12">
        <x:v>1.5812328896441046E-3</x:v>
      </x:c>
      <x:c r="M32" s="12">
        <x:v>1.5310818465024073E-3</x:v>
      </x:c>
      <x:c r="N32" s="12">
        <x:v>1.3599782875483809E-3</x:v>
      </x:c>
      <x:c r="O32" s="12">
        <x:v>7.2571509487397341E-4</x:v>
      </x:c>
      <x:c r="P32" s="12">
        <x:v>3.0946143679788539E-3</x:v>
      </x:c>
      <x:c r="Q32" s="12">
        <x:v>2.194845652789578E-3</x:v>
      </x:c>
      <x:c r="R32" s="12">
        <x:v>2.8173086000188802E-3</x:v>
      </x:c>
      <x:c r="S32" t="n">
        <x:f>IF(A32="","",SUM(H32:R32))</x:f>
        <x:v>0.024795265741527427</x:v>
      </x:c>
      <x:c r="T32" t="str">
        <x:f>IF(A32="","",IF(AND(MIN(H32:R32)&gt;=0,MAX(H32:R32)&lt;=1,S32&lt;=1),"OK","CHECK"))</x:f>
        <x:v>OK</x:v>
      </x:c>
      <x:c r="U32" t="str">
        <x:f>IF(A32="","", "LOSS-"&amp;A32&amp;"-L"&amp;TEXT(B32,"00")&amp;"-"&amp;TEXT(C32,"yyyymmdd")&amp;"-"&amp;D32&amp;"-"&amp;E32)</x:f>
        <x:v>LOSS-KG01-L22-20251026-PM-ORD-2025-00058</x:v>
      </x:c>
      <x:c r="V32" t="str">
        <x:f>IF(U32="","",IF(COUNTIF($U$5:$U$120,U32)=1,"OK","CHECK"))</x:f>
        <x:v>OK</x:v>
      </x:c>
      <x:c r="W32" t="str">
        <x:f>IF(A32="","",IF(AND(T32="OK",V32="OK",G32&gt;=0),"OK","CHECK"))</x:f>
        <x:v>OK</x:v>
      </x:c>
    </x:row>
    <x:row r="33" ht="18" customHeight="1">
      <x:c r="A33" s="9" t="s">
        <x:v>31</x:v>
      </x:c>
      <x:c r="B33" s="10">
        <x:v>23</x:v>
      </x:c>
      <x:c r="C33" s="8">
        <x:v>45950</x:v>
      </x:c>
      <x:c r="D33" s="9" t="s">
        <x:v>32</x:v>
      </x:c>
      <x:c r="E33" s="9" t="s">
        <x:v>42</x:v>
      </x:c>
      <x:c r="F33" s="9" t="s">
        <x:v>34</x:v>
      </x:c>
      <x:c r="G33" s="11">
        <x:v>18278</x:v>
      </x:c>
      <x:c r="H33" s="12">
        <x:v>5.1927158334739839E-3</x:v>
      </x:c>
      <x:c r="I33" s="12">
        <x:v>9.3691532569388832E-3</x:v>
      </x:c>
      <x:c r="J33" s="12">
        <x:v>2.7579569571978008E-3</x:v>
      </x:c>
      <x:c r="K33" s="12">
        <x:v>5.5625980816398348E-3</x:v>
      </x:c>
      <x:c r="L33" s="12">
        <x:v>3.1924788215479754E-3</x:v>
      </x:c>
      <x:c r="M33" s="12">
        <x:v>8.536020426118715E-3</x:v>
      </x:c>
      <x:c r="N33" s="12">
        <x:v>4.5247731329026419E-4</x:v>
      </x:c>
      <x:c r="O33" s="12">
        <x:v>2.9411025363867173E-3</x:v>
      </x:c>
      <x:c r="P33" s="12">
        <x:v>4.6648256346353426E-3</x:v>
      </x:c>
      <x:c r="Q33" s="12">
        <x:v>1.4784516657269983E-2</x:v>
      </x:c>
      <x:c r="R33" s="12">
        <x:v>8.1840936268929524E-3</x:v>
      </x:c>
      <x:c r="S33" t="n">
        <x:f>IF(A33="","",SUM(H33:R33))</x:f>
        <x:v>0.06563793914539245</x:v>
      </x:c>
      <x:c r="T33" t="str">
        <x:f>IF(A33="","",IF(AND(MIN(H33:R33)&gt;=0,MAX(H33:R33)&lt;=1,S33&lt;=1),"OK","CHECK"))</x:f>
        <x:v>OK</x:v>
      </x:c>
      <x:c r="U33" t="str">
        <x:f>IF(A33="","", "LOSS-"&amp;A33&amp;"-L"&amp;TEXT(B33,"00")&amp;"-"&amp;TEXT(C33,"yyyymmdd")&amp;"-"&amp;D33&amp;"-"&amp;E33)</x:f>
        <x:v>LOSS-KG01-L23-20251020-AM-ORD-2025-00092</x:v>
      </x:c>
      <x:c r="V33" t="str">
        <x:f>IF(U33="","",IF(COUNTIF($U$5:$U$120,U33)=1,"OK","CHECK"))</x:f>
        <x:v>OK</x:v>
      </x:c>
      <x:c r="W33" t="str">
        <x:f>IF(A33="","",IF(AND(T33="OK",V33="OK",G33&gt;=0),"OK","CHECK"))</x:f>
        <x:v>OK</x:v>
      </x:c>
    </x:row>
    <x:row r="34" ht="18" customHeight="1">
      <x:c r="A34" s="9" t="s">
        <x:v>31</x:v>
      </x:c>
      <x:c r="B34" s="10">
        <x:v>23</x:v>
      </x:c>
      <x:c r="C34" s="8">
        <x:v>45950</x:v>
      </x:c>
      <x:c r="D34" s="9" t="s">
        <x:v>35</x:v>
      </x:c>
      <x:c r="E34" s="9" t="s">
        <x:v>42</x:v>
      </x:c>
      <x:c r="F34" s="9" t="s">
        <x:v>34</x:v>
      </x:c>
      <x:c r="G34" s="11">
        <x:v>15396</x:v>
      </x:c>
      <x:c r="H34" s="12">
        <x:v>6.044707212849566E-3</x:v>
      </x:c>
      <x:c r="I34" s="12">
        <x:v>1.2826661131351596E-2</x:v>
      </x:c>
      <x:c r="J34" s="12">
        <x:v>6.1735464429635888E-3</x:v>
      </x:c>
      <x:c r="K34" s="12">
        <x:v>3.6146561781989707E-3</x:v>
      </x:c>
      <x:c r="L34" s="12">
        <x:v>7.1112097287934209E-3</x:v>
      </x:c>
      <x:c r="M34" s="12">
        <x:v>5.5830333049409842E-3</x:v>
      </x:c>
      <x:c r="N34" s="12">
        <x:v>3.8365459633953433E-3</x:v>
      </x:c>
      <x:c r="O34" s="12">
        <x:v>6.0840747553844059E-4</x:v>
      </x:c>
      <x:c r="P34" s="12">
        <x:v>1.2883923011402271E-3</x:v>
      </x:c>
      <x:c r="Q34" s="12">
        <x:v>5.4613518098332965E-3</x:v>
      </x:c>
      <x:c r="R34" s="12">
        <x:v>2.5517325297582834E-3</x:v>
      </x:c>
      <x:c r="S34" t="n">
        <x:f>IF(A34="","",SUM(H34:R34))</x:f>
        <x:v>0.05510024407876371</x:v>
      </x:c>
      <x:c r="T34" t="str">
        <x:f>IF(A34="","",IF(AND(MIN(H34:R34)&gt;=0,MAX(H34:R34)&lt;=1,S34&lt;=1),"OK","CHECK"))</x:f>
        <x:v>OK</x:v>
      </x:c>
      <x:c r="U34" t="str">
        <x:f>IF(A34="","", "LOSS-"&amp;A34&amp;"-L"&amp;TEXT(B34,"00")&amp;"-"&amp;TEXT(C34,"yyyymmdd")&amp;"-"&amp;D34&amp;"-"&amp;E34)</x:f>
        <x:v>LOSS-KG01-L23-20251020-PM-ORD-2025-00092</x:v>
      </x:c>
      <x:c r="V34" t="str">
        <x:f>IF(U34="","",IF(COUNTIF($U$5:$U$120,U34)=1,"OK","CHECK"))</x:f>
        <x:v>OK</x:v>
      </x:c>
      <x:c r="W34" t="str">
        <x:f>IF(A34="","",IF(AND(T34="OK",V34="OK",G34&gt;=0),"OK","CHECK"))</x:f>
        <x:v>OK</x:v>
      </x:c>
    </x:row>
    <x:row r="35" ht="18" customHeight="1">
      <x:c r="A35" s="9" t="s">
        <x:v>31</x:v>
      </x:c>
      <x:c r="B35" s="10">
        <x:v>23</x:v>
      </x:c>
      <x:c r="C35" s="8">
        <x:v>45951</x:v>
      </x:c>
      <x:c r="D35" s="9" t="s">
        <x:v>32</x:v>
      </x:c>
      <x:c r="E35" s="9" t="s">
        <x:v>42</x:v>
      </x:c>
      <x:c r="F35" s="9" t="s">
        <x:v>34</x:v>
      </x:c>
      <x:c r="G35" s="11">
        <x:v>17700</x:v>
      </x:c>
      <x:c r="H35" s="12">
        <x:v>4.7925738250787706E-3</x:v>
      </x:c>
      <x:c r="I35" s="12">
        <x:v>7.8724119947044067E-3</x:v>
      </x:c>
      <x:c r="J35" s="12">
        <x:v>3.752588391046867E-3</x:v>
      </x:c>
      <x:c r="K35" s="12">
        <x:v>3.5643417694565228E-3</x:v>
      </x:c>
      <x:c r="L35" s="12">
        <x:v>8.2982814009251865E-3</x:v>
      </x:c>
      <x:c r="M35" s="12">
        <x:v>2.9687418027854327E-3</x:v>
      </x:c>
      <x:c r="N35" s="12">
        <x:v>2.7588931098650486E-3</x:v>
      </x:c>
      <x:c r="O35" s="12">
        <x:v>1.2683501880923211E-3</x:v>
      </x:c>
      <x:c r="P35" s="12">
        <x:v>3.4748474739463588E-3</x:v>
      </x:c>
      <x:c r="Q35" s="12">
        <x:v>1.0338134136518918E-2</x:v>
      </x:c>
      <x:c r="R35" s="12">
        <x:v>5.5332162706801255E-3</x:v>
      </x:c>
      <x:c r="S35" t="n">
        <x:f>IF(A35="","",SUM(H35:R35))</x:f>
        <x:v>0.05462238036309996</x:v>
      </x:c>
      <x:c r="T35" t="str">
        <x:f>IF(A35="","",IF(AND(MIN(H35:R35)&gt;=0,MAX(H35:R35)&lt;=1,S35&lt;=1),"OK","CHECK"))</x:f>
        <x:v>OK</x:v>
      </x:c>
      <x:c r="U35" t="str">
        <x:f>IF(A35="","", "LOSS-"&amp;A35&amp;"-L"&amp;TEXT(B35,"00")&amp;"-"&amp;TEXT(C35,"yyyymmdd")&amp;"-"&amp;D35&amp;"-"&amp;E35)</x:f>
        <x:v>LOSS-KG01-L23-20251021-AM-ORD-2025-00092</x:v>
      </x:c>
      <x:c r="V35" t="str">
        <x:f>IF(U35="","",IF(COUNTIF($U$5:$U$120,U35)=1,"OK","CHECK"))</x:f>
        <x:v>OK</x:v>
      </x:c>
      <x:c r="W35" t="str">
        <x:f>IF(A35="","",IF(AND(T35="OK",V35="OK",G35&gt;=0),"OK","CHECK"))</x:f>
        <x:v>OK</x:v>
      </x:c>
    </x:row>
    <x:row r="36" ht="18" customHeight="1">
      <x:c r="A36" s="9" t="s">
        <x:v>31</x:v>
      </x:c>
      <x:c r="B36" s="10">
        <x:v>23</x:v>
      </x:c>
      <x:c r="C36" s="8">
        <x:v>45951</x:v>
      </x:c>
      <x:c r="D36" s="9" t="s">
        <x:v>35</x:v>
      </x:c>
      <x:c r="E36" s="9" t="s">
        <x:v>42</x:v>
      </x:c>
      <x:c r="F36" s="9" t="s">
        <x:v>34</x:v>
      </x:c>
      <x:c r="G36" s="11">
        <x:v>20517</x:v>
      </x:c>
      <x:c r="H36" s="12">
        <x:v>3.8295038295038295E-3</x:v>
      </x:c>
      <x:c r="I36" s="12">
        <x:v>1.4531764531764533E-2</x:v>
      </x:c>
      <x:c r="J36" s="12">
        <x:v>3.4070867404200739E-3</x:v>
      </x:c>
      <x:c r="K36" s="12">
        <x:v>6.2098395431728765E-3</x:v>
      </x:c>
      <x:c r="L36" s="12">
        <x:v>4.0453373786707124E-3</x:v>
      </x:c>
      <x:c r="M36" s="12">
        <x:v>5.0165883499216834E-3</x:v>
      </x:c>
      <x:c r="N36" s="12">
        <x:v>4.800754800754801E-3</x:v>
      </x:c>
      <x:c r="O36" s="12">
        <x:v>3.1172531172531173E-3</x:v>
      </x:c>
      <x:c r="P36" s="12">
        <x:v>2.0134186800853469E-3</x:v>
      </x:c>
      <x:c r="Q36" s="12">
        <x:v>5.3341720008386675E-3</x:v>
      </x:c>
      <x:c r="R36" s="12">
        <x:v>1.0955094288427622E-2</x:v>
      </x:c>
      <x:c r="S36" t="n">
        <x:f>IF(A36="","",SUM(H36:R36))</x:f>
        <x:v>0.06326081326081326</x:v>
      </x:c>
      <x:c r="T36" t="str">
        <x:f>IF(A36="","",IF(AND(MIN(H36:R36)&gt;=0,MAX(H36:R36)&lt;=1,S36&lt;=1),"OK","CHECK"))</x:f>
        <x:v>OK</x:v>
      </x:c>
      <x:c r="U36" t="str">
        <x:f>IF(A36="","", "LOSS-"&amp;A36&amp;"-L"&amp;TEXT(B36,"00")&amp;"-"&amp;TEXT(C36,"yyyymmdd")&amp;"-"&amp;D36&amp;"-"&amp;E36)</x:f>
        <x:v>LOSS-KG01-L23-20251021-PM-ORD-2025-00092</x:v>
      </x:c>
      <x:c r="V36" t="str">
        <x:f>IF(U36="","",IF(COUNTIF($U$5:$U$120,U36)=1,"OK","CHECK"))</x:f>
        <x:v>OK</x:v>
      </x:c>
      <x:c r="W36" t="str">
        <x:f>IF(A36="","",IF(AND(T36="OK",V36="OK",G36&gt;=0),"OK","CHECK"))</x:f>
        <x:v>OK</x:v>
      </x:c>
    </x:row>
    <x:row r="37" ht="18" customHeight="1">
      <x:c r="A37" s="9" t="s">
        <x:v>31</x:v>
      </x:c>
      <x:c r="B37" s="10">
        <x:v>23</x:v>
      </x:c>
      <x:c r="C37" s="8">
        <x:v>45952</x:v>
      </x:c>
      <x:c r="D37" s="9" t="s">
        <x:v>32</x:v>
      </x:c>
      <x:c r="E37" s="9" t="s">
        <x:v>43</x:v>
      </x:c>
      <x:c r="F37" s="9" t="s">
        <x:v>34</x:v>
      </x:c>
      <x:c r="G37" s="11">
        <x:v>4895</x:v>
      </x:c>
      <x:c r="H37" s="12">
        <x:v>9.7571917232097804E-3</x:v>
      </x:c>
      <x:c r="I37" s="12">
        <x:v>1.2594627936970785E-2</x:v>
      </x:c>
      <x:c r="J37" s="12">
        <x:v>3.7795098973812595E-3</x:v>
      </x:c>
      <x:c r="K37" s="12">
        <x:v>3.9253070150843941E-3</x:v>
      </x:c>
      <x:c r="L37" s="12">
        <x:v>4.6767229294005499E-3</x:v>
      </x:c>
      <x:c r="M37" s="12">
        <x:v>1.5364773173330343E-3</x:v>
      </x:c>
      <x:c r="N37" s="12">
        <x:v>5.8206695452251442E-3</x:v>
      </x:c>
      <x:c r="O37" s="12">
        <x:v>9.0842819491953122E-4</x:v>
      </x:c>
      <x:c r="P37" s="12">
        <x:v>1.7159199237368923E-3</x:v>
      </x:c>
      <x:c r="Q37" s="12">
        <x:v>4.0935344585880107E-3</x:v>
      </x:c>
      <x:c r="R37" s="12">
        <x:v>6.0898334548309318E-3</x:v>
      </x:c>
      <x:c r="S37" t="n">
        <x:f>IF(A37="","",SUM(H37:R37))</x:f>
        <x:v>0.05489822239668032</x:v>
      </x:c>
      <x:c r="T37" t="str">
        <x:f>IF(A37="","",IF(AND(MIN(H37:R37)&gt;=0,MAX(H37:R37)&lt;=1,S37&lt;=1),"OK","CHECK"))</x:f>
        <x:v>OK</x:v>
      </x:c>
      <x:c r="U37" t="str">
        <x:f>IF(A37="","", "LOSS-"&amp;A37&amp;"-L"&amp;TEXT(B37,"00")&amp;"-"&amp;TEXT(C37,"yyyymmdd")&amp;"-"&amp;D37&amp;"-"&amp;E37)</x:f>
        <x:v>LOSS-KG01-L23-20251022-AM-ORD-2025-00093</x:v>
      </x:c>
      <x:c r="V37" t="str">
        <x:f>IF(U37="","",IF(COUNTIF($U$5:$U$120,U37)=1,"OK","CHECK"))</x:f>
        <x:v>OK</x:v>
      </x:c>
      <x:c r="W37" t="str">
        <x:f>IF(A37="","",IF(AND(T37="OK",V37="OK",G37&gt;=0),"OK","CHECK"))</x:f>
        <x:v>OK</x:v>
      </x:c>
    </x:row>
    <x:row r="38" ht="18" customHeight="1">
      <x:c r="A38" s="9" t="s">
        <x:v>31</x:v>
      </x:c>
      <x:c r="B38" s="10">
        <x:v>23</x:v>
      </x:c>
      <x:c r="C38" s="8">
        <x:v>45952</x:v>
      </x:c>
      <x:c r="D38" s="9" t="s">
        <x:v>35</x:v>
      </x:c>
      <x:c r="E38" s="9" t="s">
        <x:v>43</x:v>
      </x:c>
      <x:c r="F38" s="9" t="s">
        <x:v>34</x:v>
      </x:c>
      <x:c r="G38" s="11">
        <x:v>10098</x:v>
      </x:c>
      <x:c r="H38" s="12">
        <x:v>7.3067632850241544E-3</x:v>
      </x:c>
      <x:c r="I38" s="12">
        <x:v>9.5954106280193244E-3</x:v>
      </x:c>
      <x:c r="J38" s="12">
        <x:v>4.2995169082125605E-3</x:v>
      </x:c>
      <x:c r="K38" s="12">
        <x:v>3.0253623188405796E-3</x:v>
      </x:c>
      <x:c r="L38" s="12">
        <x:v>7.2101449275362318E-3</x:v>
      </x:c>
      <x:c r="M38" s="12">
        <x:v>4.9214975845410626E-3</x:v>
      </x:c>
      <x:c r="N38" s="12">
        <x:v>1.6183574879227052E-3</x:v>
      </x:c>
      <x:c r="O38" s="12">
        <x:v>1.2258454106280194E-3</x:v>
      </x:c>
      <x:c r="P38" s="12">
        <x:v>1.25E-3</x:v>
      </x:c>
      <x:c r="Q38" s="12">
        <x:v>1.5440821256038647E-2</x:v>
      </x:c>
      <x:c r="R38" s="12">
        <x:v>5.0845410628019326E-3</x:v>
      </x:c>
      <x:c r="S38" t="n">
        <x:f>IF(A38="","",SUM(H38:R38))</x:f>
        <x:v>0.060978260869565225</x:v>
      </x:c>
      <x:c r="T38" t="str">
        <x:f>IF(A38="","",IF(AND(MIN(H38:R38)&gt;=0,MAX(H38:R38)&lt;=1,S38&lt;=1),"OK","CHECK"))</x:f>
        <x:v>OK</x:v>
      </x:c>
      <x:c r="U38" t="str">
        <x:f>IF(A38="","", "LOSS-"&amp;A38&amp;"-L"&amp;TEXT(B38,"00")&amp;"-"&amp;TEXT(C38,"yyyymmdd")&amp;"-"&amp;D38&amp;"-"&amp;E38)</x:f>
        <x:v>LOSS-KG01-L23-20251022-PM-ORD-2025-00093</x:v>
      </x:c>
      <x:c r="V38" t="str">
        <x:f>IF(U38="","",IF(COUNTIF($U$5:$U$120,U38)=1,"OK","CHECK"))</x:f>
        <x:v>OK</x:v>
      </x:c>
      <x:c r="W38" t="str">
        <x:f>IF(A38="","",IF(AND(T38="OK",V38="OK",G38&gt;=0),"OK","CHECK"))</x:f>
        <x:v>OK</x:v>
      </x:c>
    </x:row>
    <x:row r="39" ht="18" customHeight="1">
      <x:c r="A39" s="9" t="s">
        <x:v>31</x:v>
      </x:c>
      <x:c r="B39" s="10">
        <x:v>23</x:v>
      </x:c>
      <x:c r="C39" s="8">
        <x:v>45953</x:v>
      </x:c>
      <x:c r="D39" s="9" t="s">
        <x:v>32</x:v>
      </x:c>
      <x:c r="E39" s="9" t="s">
        <x:v>43</x:v>
      </x:c>
      <x:c r="F39" s="9" t="s">
        <x:v>34</x:v>
      </x:c>
      <x:c r="G39" s="11">
        <x:v>7869</x:v>
      </x:c>
      <x:c r="H39" s="12">
        <x:v>2.9921395684849531E-3</x:v>
      </x:c>
      <x:c r="I39" s="12">
        <x:v>1.1925428334213903E-2</x:v>
      </x:c>
      <x:c r="J39" s="12">
        <x:v>6.135233926010588E-3</x:v>
      </x:c>
      <x:c r="K39" s="12">
        <x:v>4.0703880616326836E-3</x:v>
      </x:c>
      <x:c r="L39" s="12">
        <x:v>2.0378896520492113E-3</x:v>
      </x:c>
      <x:c r="M39" s="12">
        <x:v>3.7684784835513192E-3</x:v>
      </x:c>
      <x:c r="N39" s="12">
        <x:v>5.2295051917664948E-4</x:v>
      </x:c>
      <x:c r="O39" s="12">
        <x:v>1.6227639821873349E-3</x:v>
      </x:c>
      <x:c r="P39" s="12">
        <x:v>3.1107469027312033E-3</x:v>
      </x:c>
      <x:c r="Q39" s="12">
        <x:v>2.8196198095813163E-3</x:v>
      </x:c>
      <x:c r="R39" s="12">
        <x:v>3.4180477232783066E-3</x:v>
      </x:c>
      <x:c r="S39" t="n">
        <x:f>IF(A39="","",SUM(H39:R39))</x:f>
        <x:v>0.04242368696289747</x:v>
      </x:c>
      <x:c r="T39" t="str">
        <x:f>IF(A39="","",IF(AND(MIN(H39:R39)&gt;=0,MAX(H39:R39)&lt;=1,S39&lt;=1),"OK","CHECK"))</x:f>
        <x:v>OK</x:v>
      </x:c>
      <x:c r="U39" t="str">
        <x:f>IF(A39="","", "LOSS-"&amp;A39&amp;"-L"&amp;TEXT(B39,"00")&amp;"-"&amp;TEXT(C39,"yyyymmdd")&amp;"-"&amp;D39&amp;"-"&amp;E39)</x:f>
        <x:v>LOSS-KG01-L23-20251023-AM-ORD-2025-00093</x:v>
      </x:c>
      <x:c r="V39" t="str">
        <x:f>IF(U39="","",IF(COUNTIF($U$5:$U$120,U39)=1,"OK","CHECK"))</x:f>
        <x:v>OK</x:v>
      </x:c>
      <x:c r="W39" t="str">
        <x:f>IF(A39="","",IF(AND(T39="OK",V39="OK",G39&gt;=0),"OK","CHECK"))</x:f>
        <x:v>OK</x:v>
      </x:c>
    </x:row>
    <x:row r="40" ht="18" customHeight="1">
      <x:c r="A40" s="9" t="s">
        <x:v>31</x:v>
      </x:c>
      <x:c r="B40" s="10">
        <x:v>23</x:v>
      </x:c>
      <x:c r="C40" s="8">
        <x:v>45953</x:v>
      </x:c>
      <x:c r="D40" s="9" t="s">
        <x:v>35</x:v>
      </x:c>
      <x:c r="E40" s="9" t="s">
        <x:v>43</x:v>
      </x:c>
      <x:c r="F40" s="9" t="s">
        <x:v>34</x:v>
      </x:c>
      <x:c r="G40" s="11">
        <x:v>5160</x:v>
      </x:c>
      <x:c r="H40" s="12">
        <x:v>2.171386832232146E-3</x:v>
      </x:c>
      <x:c r="I40" s="12">
        <x:v>7.1516318602875264E-3</x:v>
      </x:c>
      <x:c r="J40" s="12">
        <x:v>1.992098011222152E-3</x:v>
      </x:c>
      <x:c r="K40" s="12">
        <x:v>3.1408745310269265E-3</x:v>
      </x:c>
      <x:c r="L40" s="12">
        <x:v>2.5166838208439857E-3</x:v>
      </x:c>
      <x:c r="M40" s="12">
        <x:v>4.083800923005412E-3</x:v>
      </x:c>
      <x:c r="N40" s="12">
        <x:v>1.3147846874066204E-3</x:v>
      </x:c>
      <x:c r="O40" s="12">
        <x:v>8.4996181812145154E-4</x:v>
      </x:c>
      <x:c r="P40" s="12">
        <x:v>6.3083103688701481E-4</x:v>
      </x:c>
      <x:c r="Q40" s="12">
        <x:v>4.2630897440154051E-3</x:v>
      </x:c>
      <x:c r="R40" s="12">
        <x:v>6.148942527972376E-3</x:v>
      </x:c>
      <x:c r="S40" t="n">
        <x:f>IF(A40="","",SUM(H40:R40))</x:f>
        <x:v>0.034264085793021024</x:v>
      </x:c>
      <x:c r="T40" t="str">
        <x:f>IF(A40="","",IF(AND(MIN(H40:R40)&gt;=0,MAX(H40:R40)&lt;=1,S40&lt;=1),"OK","CHECK"))</x:f>
        <x:v>OK</x:v>
      </x:c>
      <x:c r="U40" t="str">
        <x:f>IF(A40="","", "LOSS-"&amp;A40&amp;"-L"&amp;TEXT(B40,"00")&amp;"-"&amp;TEXT(C40,"yyyymmdd")&amp;"-"&amp;D40&amp;"-"&amp;E40)</x:f>
        <x:v>LOSS-KG01-L23-20251023-PM-ORD-2025-00093</x:v>
      </x:c>
      <x:c r="V40" t="str">
        <x:f>IF(U40="","",IF(COUNTIF($U$5:$U$120,U40)=1,"OK","CHECK"))</x:f>
        <x:v>OK</x:v>
      </x:c>
      <x:c r="W40" t="str">
        <x:f>IF(A40="","",IF(AND(T40="OK",V40="OK",G40&gt;=0),"OK","CHECK"))</x:f>
        <x:v>OK</x:v>
      </x:c>
    </x:row>
    <x:row r="41" ht="18" customHeight="1">
      <x:c r="A41" s="9" t="s">
        <x:v>31</x:v>
      </x:c>
      <x:c r="B41" s="10">
        <x:v>23</x:v>
      </x:c>
      <x:c r="C41" s="8">
        <x:v>45954</x:v>
      </x:c>
      <x:c r="D41" s="9" t="s">
        <x:v>32</x:v>
      </x:c>
      <x:c r="E41" s="9" t="s">
        <x:v>43</x:v>
      </x:c>
      <x:c r="F41" s="9" t="s">
        <x:v>34</x:v>
      </x:c>
      <x:c r="G41" s="11">
        <x:v>5654</x:v>
      </x:c>
      <x:c r="H41" s="12">
        <x:v>4.1739200569965249E-3</x:v>
      </x:c>
      <x:c r="I41" s="12">
        <x:v>1.1587501092209355E-2</x:v>
      </x:c>
      <x:c r="J41" s="12">
        <x:v>3.9252323885442366E-3</x:v>
      </x:c>
      <x:c r="K41" s="12">
        <x:v>2.0096652126279564E-3</x:v>
      </x:c>
      <x:c r="L41" s="12">
        <x:v>2.1373696910223752E-3</x:v>
      </x:c>
      <x:c r="M41" s="12">
        <x:v>1.6332730657812489E-3</x:v>
      </x:c>
      <x:c r="N41" s="12">
        <x:v>1.2031106122421546E-3</x:v>
      </x:c>
      <x:c r="O41" s="12">
        <x:v>1.7408136791660226E-3</x:v>
      </x:c>
      <x:c r="P41" s="12">
        <x:v>2.9775307330909191E-3</x:v>
      </x:c>
      <x:c r="Q41" s="12">
        <x:v>2.6145811629173081E-3</x:v>
      </x:c>
      <x:c r="R41" s="12">
        <x:v>3.999166560246268E-3</x:v>
      </x:c>
      <x:c r="S41" t="n">
        <x:f>IF(A41="","",SUM(H41:R41))</x:f>
        <x:v>0.03800216425484437</x:v>
      </x:c>
      <x:c r="T41" t="str">
        <x:f>IF(A41="","",IF(AND(MIN(H41:R41)&gt;=0,MAX(H41:R41)&lt;=1,S41&lt;=1),"OK","CHECK"))</x:f>
        <x:v>OK</x:v>
      </x:c>
      <x:c r="U41" t="str">
        <x:f>IF(A41="","", "LOSS-"&amp;A41&amp;"-L"&amp;TEXT(B41,"00")&amp;"-"&amp;TEXT(C41,"yyyymmdd")&amp;"-"&amp;D41&amp;"-"&amp;E41)</x:f>
        <x:v>LOSS-KG01-L23-20251024-AM-ORD-2025-00093</x:v>
      </x:c>
      <x:c r="V41" t="str">
        <x:f>IF(U41="","",IF(COUNTIF($U$5:$U$120,U41)=1,"OK","CHECK"))</x:f>
        <x:v>OK</x:v>
      </x:c>
      <x:c r="W41" t="str">
        <x:f>IF(A41="","",IF(AND(T41="OK",V41="OK",G41&gt;=0),"OK","CHECK"))</x:f>
        <x:v>OK</x:v>
      </x:c>
    </x:row>
    <x:row r="42" ht="18" customHeight="1">
      <x:c r="A42" s="9" t="s">
        <x:v>31</x:v>
      </x:c>
      <x:c r="B42" s="10">
        <x:v>23</x:v>
      </x:c>
      <x:c r="C42" s="8">
        <x:v>45954</x:v>
      </x:c>
      <x:c r="D42" s="9" t="s">
        <x:v>35</x:v>
      </x:c>
      <x:c r="E42" s="9" t="s">
        <x:v>43</x:v>
      </x:c>
      <x:c r="F42" s="9" t="s">
        <x:v>34</x:v>
      </x:c>
      <x:c r="G42" s="11">
        <x:v>5196</x:v>
      </x:c>
      <x:c r="H42" s="12">
        <x:v>2.0845290047321516E-3</x:v>
      </x:c>
      <x:c r="I42" s="12">
        <x:v>7.6234203601632973E-3</x:v>
      </x:c>
      <x:c r="J42" s="12">
        <x:v>2.6259651098573858E-3</x:v>
      </x:c>
      <x:c r="K42" s="12">
        <x:v>1.5972365101194408E-3</x:v>
      </x:c>
      <x:c r="L42" s="12">
        <x:v>2.5014348056785819E-3</x:v>
      </x:c>
      <x:c r="M42" s="12">
        <x:v>1.9978992279121141E-3</x:v>
      </x:c>
      <x:c r="N42" s="12">
        <x:v>1.299446652300562E-3</x:v>
      </x:c>
      <x:c r="O42" s="12">
        <x:v>6.1723715984276692E-4</x:v>
      </x:c>
      <x:c r="P42" s="12">
        <x:v>3.4110474622889753E-3</x:v>
      </x:c>
      <x:c r="Q42" s="12">
        <x:v>3.3190033244176855E-3</x:v>
      </x:c>
      <x:c r="R42" s="12">
        <x:v>1.0558004049942065E-3</x:v>
      </x:c>
      <x:c r="S42" t="n">
        <x:f>IF(A42="","",SUM(H42:R42))</x:f>
        <x:v>0.02813302002230717</x:v>
      </x:c>
      <x:c r="T42" t="str">
        <x:f>IF(A42="","",IF(AND(MIN(H42:R42)&gt;=0,MAX(H42:R42)&lt;=1,S42&lt;=1),"OK","CHECK"))</x:f>
        <x:v>OK</x:v>
      </x:c>
      <x:c r="U42" t="str">
        <x:f>IF(A42="","", "LOSS-"&amp;A42&amp;"-L"&amp;TEXT(B42,"00")&amp;"-"&amp;TEXT(C42,"yyyymmdd")&amp;"-"&amp;D42&amp;"-"&amp;E42)</x:f>
        <x:v>LOSS-KG01-L23-20251024-PM-ORD-2025-00093</x:v>
      </x:c>
      <x:c r="V42" t="str">
        <x:f>IF(U42="","",IF(COUNTIF($U$5:$U$120,U42)=1,"OK","CHECK"))</x:f>
        <x:v>OK</x:v>
      </x:c>
      <x:c r="W42" t="str">
        <x:f>IF(A42="","",IF(AND(T42="OK",V42="OK",G42&gt;=0),"OK","CHECK"))</x:f>
        <x:v>OK</x:v>
      </x:c>
    </x:row>
    <x:row r="43" ht="18" customHeight="1">
      <x:c r="A43" s="9" t="s">
        <x:v>31</x:v>
      </x:c>
      <x:c r="B43" s="10">
        <x:v>23</x:v>
      </x:c>
      <x:c r="C43" s="8">
        <x:v>45955</x:v>
      </x:c>
      <x:c r="D43" s="9" t="s">
        <x:v>32</x:v>
      </x:c>
      <x:c r="E43" s="9" t="s">
        <x:v>43</x:v>
      </x:c>
      <x:c r="F43" s="9" t="s">
        <x:v>34</x:v>
      </x:c>
      <x:c r="G43" s="11">
        <x:v>8874</x:v>
      </x:c>
      <x:c r="H43" s="12">
        <x:v>7.0323488045007029E-3</x:v>
      </x:c>
      <x:c r="I43" s="12">
        <x:v>1.1316221284575715E-2</x:v>
      </x:c>
      <x:c r="J43" s="12">
        <x:v>4.3073136427566805E-3</x:v>
      </x:c>
      <x:c r="K43" s="12">
        <x:v>6.3818565400843878E-3</x:v>
      </x:c>
      <x:c r="L43" s="12">
        <x:v>3.1059540553211441E-3</x:v>
      </x:c>
      <x:c r="M43" s="12">
        <x:v>2.3265353961556493E-3</x:v>
      </x:c>
      <x:c r="N43" s="12">
        <x:v>3.2993436474449134E-3</x:v>
      </x:c>
      <x:c r="O43" s="12">
        <x:v>1.0021097046413502E-3</x:v>
      </x:c>
      <x:c r="P43" s="12">
        <x:v>7.266760431317393E-3</x:v>
      </x:c>
      <x:c r="Q43" s="12">
        <x:v>4.2311298640412562E-3</x:v>
      </x:c>
      <x:c r="R43" s="12">
        <x:v>1.7346460384435069E-3</x:v>
      </x:c>
      <x:c r="S43" t="n">
        <x:f>IF(A43="","",SUM(H43:R43))</x:f>
        <x:v>0.0520042194092827</x:v>
      </x:c>
      <x:c r="T43" t="str">
        <x:f>IF(A43="","",IF(AND(MIN(H43:R43)&gt;=0,MAX(H43:R43)&lt;=1,S43&lt;=1),"OK","CHECK"))</x:f>
        <x:v>OK</x:v>
      </x:c>
      <x:c r="U43" t="str">
        <x:f>IF(A43="","", "LOSS-"&amp;A43&amp;"-L"&amp;TEXT(B43,"00")&amp;"-"&amp;TEXT(C43,"yyyymmdd")&amp;"-"&amp;D43&amp;"-"&amp;E43)</x:f>
        <x:v>LOSS-KG01-L23-20251025-AM-ORD-2025-00093</x:v>
      </x:c>
      <x:c r="V43" t="str">
        <x:f>IF(U43="","",IF(COUNTIF($U$5:$U$120,U43)=1,"OK","CHECK"))</x:f>
        <x:v>OK</x:v>
      </x:c>
      <x:c r="W43" t="str">
        <x:f>IF(A43="","",IF(AND(T43="OK",V43="OK",G43&gt;=0),"OK","CHECK"))</x:f>
        <x:v>OK</x:v>
      </x:c>
    </x:row>
    <x:row r="44" ht="18" customHeight="1">
      <x:c r="A44" s="9" t="s">
        <x:v>31</x:v>
      </x:c>
      <x:c r="B44" s="10">
        <x:v>23</x:v>
      </x:c>
      <x:c r="C44" s="8">
        <x:v>45955</x:v>
      </x:c>
      <x:c r="D44" s="9" t="s">
        <x:v>35</x:v>
      </x:c>
      <x:c r="E44" s="9" t="s">
        <x:v>43</x:v>
      </x:c>
      <x:c r="F44" s="9" t="s">
        <x:v>34</x:v>
      </x:c>
      <x:c r="G44" s="11">
        <x:v>7497</x:v>
      </x:c>
      <x:c r="H44" s="12">
        <x:v>5.2313477939695116E-3</x:v>
      </x:c>
      <x:c r="I44" s="12">
        <x:v>1.576791350480156E-2</x:v>
      </x:c>
      <x:c r="J44" s="12">
        <x:v>1.2826539520515749E-3</x:v>
      </x:c>
      <x:c r="K44" s="12">
        <x:v>1.9810623866765159E-3</x:v>
      </x:c>
      <x:c r="L44" s="12">
        <x:v>4.1367268820092671E-3</x:v>
      </x:c>
      <x:c r="M44" s="12">
        <x:v>3.1831307501175208E-3</x:v>
      </x:c>
      <x:c r="N44" s="12">
        <x:v>2.3168356725538916E-3</x:v>
      </x:c>
      <x:c r="O44" s="12">
        <x:v>6.8497750318984626E-4</x:v>
      </x:c>
      <x:c r="P44" s="12">
        <x:v>5.493250956953865E-3</x:v>
      </x:c>
      <x:c r="Q44" s="12">
        <x:v>5.184339533946679E-3</x:v>
      </x:c>
      <x:c r="R44" s="12">
        <x:v>5.0836075481834669E-3</x:v>
      </x:c>
      <x:c r="S44" t="n">
        <x:f>IF(A44="","",SUM(H44:R44))</x:f>
        <x:v>0.0503458464844537</x:v>
      </x:c>
      <x:c r="T44" t="str">
        <x:f>IF(A44="","",IF(AND(MIN(H44:R44)&gt;=0,MAX(H44:R44)&lt;=1,S44&lt;=1),"OK","CHECK"))</x:f>
        <x:v>OK</x:v>
      </x:c>
      <x:c r="U44" t="str">
        <x:f>IF(A44="","", "LOSS-"&amp;A44&amp;"-L"&amp;TEXT(B44,"00")&amp;"-"&amp;TEXT(C44,"yyyymmdd")&amp;"-"&amp;D44&amp;"-"&amp;E44)</x:f>
        <x:v>LOSS-KG01-L23-20251025-PM-ORD-2025-00093</x:v>
      </x:c>
      <x:c r="V44" t="str">
        <x:f>IF(U44="","",IF(COUNTIF($U$5:$U$120,U44)=1,"OK","CHECK"))</x:f>
        <x:v>OK</x:v>
      </x:c>
      <x:c r="W44" t="str">
        <x:f>IF(A44="","",IF(AND(T44="OK",V44="OK",G44&gt;=0),"OK","CHECK"))</x:f>
        <x:v>OK</x:v>
      </x:c>
    </x:row>
    <x:row r="45" ht="18" customHeight="1">
      <x:c r="A45" s="9" t="s">
        <x:v>31</x:v>
      </x:c>
      <x:c r="B45" s="10">
        <x:v>23</x:v>
      </x:c>
      <x:c r="C45" s="8">
        <x:v>45956</x:v>
      </x:c>
      <x:c r="D45" s="9" t="s">
        <x:v>32</x:v>
      </x:c>
      <x:c r="E45" s="9" t="s">
        <x:v>44</x:v>
      </x:c>
      <x:c r="F45" s="9" t="s">
        <x:v>37</x:v>
      </x:c>
      <x:c r="G45" s="11">
        <x:v>1161</x:v>
      </x:c>
      <x:c r="H45" s="12">
        <x:v>8.9285714285714281E-3</x:v>
      </x:c>
      <x:c r="I45" s="12">
        <x:v>2.2130647130647132E-2</x:v>
      </x:c>
      <x:c r="J45" s="12">
        <x:v>5.9523809523809521E-3</x:v>
      </x:c>
      <x:c r="K45" s="12">
        <x:v>2.670940170940171E-3</x:v>
      </x:c>
      <x:c r="L45" s="12">
        <x:v>8.318070818070818E-3</x:v>
      </x:c>
      <x:c r="M45" s="12">
        <x:v>9.0811965811965819E-3</x:v>
      </x:c>
      <x:c r="N45" s="12">
        <x:v>4.34981684981685E-3</x:v>
      </x:c>
      <x:c r="O45" s="12">
        <x:v>7.097069597069597E-3</x:v>
      </x:c>
      <x:c r="P45" s="12">
        <x:v>4.7313797313797311E-3</x:v>
      </x:c>
      <x:c r="Q45" s="12">
        <x:v>6.105006105006105E-3</x:v>
      </x:c>
      <x:c r="R45" s="12">
        <x:v>9.233821733821734E-3</x:v>
      </x:c>
      <x:c r="S45" t="n">
        <x:f>IF(A45="","",SUM(H45:R45))</x:f>
        <x:v>0.08859890109890109</x:v>
      </x:c>
      <x:c r="T45" t="str">
        <x:f>IF(A45="","",IF(AND(MIN(H45:R45)&gt;=0,MAX(H45:R45)&lt;=1,S45&lt;=1),"OK","CHECK"))</x:f>
        <x:v>OK</x:v>
      </x:c>
      <x:c r="U45" t="str">
        <x:f>IF(A45="","", "LOSS-"&amp;A45&amp;"-L"&amp;TEXT(B45,"00")&amp;"-"&amp;TEXT(C45,"yyyymmdd")&amp;"-"&amp;D45&amp;"-"&amp;E45)</x:f>
        <x:v>LOSS-KG01-L23-20251026-AM-ORD-2025-00094</x:v>
      </x:c>
      <x:c r="V45" t="str">
        <x:f>IF(U45="","",IF(COUNTIF($U$5:$U$120,U45)=1,"OK","CHECK"))</x:f>
        <x:v>OK</x:v>
      </x:c>
      <x:c r="W45" t="str">
        <x:f>IF(A45="","",IF(AND(T45="OK",V45="OK",G45&gt;=0),"OK","CHECK"))</x:f>
        <x:v>OK</x:v>
      </x:c>
    </x:row>
    <x:row r="46" ht="18" customHeight="1">
      <x:c r="A46" s="9" t="s">
        <x:v>31</x:v>
      </x:c>
      <x:c r="B46" s="10">
        <x:v>23</x:v>
      </x:c>
      <x:c r="C46" s="8">
        <x:v>45956</x:v>
      </x:c>
      <x:c r="D46" s="9" t="s">
        <x:v>35</x:v>
      </x:c>
      <x:c r="E46" s="9" t="s">
        <x:v>44</x:v>
      </x:c>
      <x:c r="F46" s="9" t="s">
        <x:v>34</x:v>
      </x:c>
      <x:c r="G46" s="11">
        <x:v>11865</x:v>
      </x:c>
      <x:c r="H46" s="12">
        <x:v>9.5434868162140897E-3</x:v>
      </x:c>
      <x:c r="I46" s="12">
        <x:v>1.6386811841357297E-2</x:v>
      </x:c>
      <x:c r="J46" s="12">
        <x:v>6.0507674144037781E-3</x:v>
      </x:c>
      <x:c r="K46" s="12">
        <x:v>1.4976605885696794E-3</x:v>
      </x:c>
      <x:c r="L46" s="12">
        <x:v>6.2803358257903716E-3</x:v>
      </x:c>
      <x:c r="M46" s="12">
        <x:v>6.8214613669159126E-3</x:v>
      </x:c>
      <x:c r="N46" s="12">
        <x:v>3.6621627530718438E-4</x:v>
      </x:c>
      <x:c r="O46" s="12">
        <x:v>2.9187983733438279E-3</x:v>
      </x:c>
      <x:c r="P46" s="12">
        <x:v>4.7389479207661026E-3</x:v>
      </x:c>
      <x:c r="Q46" s="12">
        <x:v>6.9963706327342695E-3</x:v>
      </x:c>
      <x:c r="R46" s="12">
        <x:v>3.2522191613100705E-3</x:v>
      </x:c>
      <x:c r="S46" t="n">
        <x:f>IF(A46="","",SUM(H46:R46))</x:f>
        <x:v>0.06485307621671259</x:v>
      </x:c>
      <x:c r="T46" t="str">
        <x:f>IF(A46="","",IF(AND(MIN(H46:R46)&gt;=0,MAX(H46:R46)&lt;=1,S46&lt;=1),"OK","CHECK"))</x:f>
        <x:v>OK</x:v>
      </x:c>
      <x:c r="U46" t="str">
        <x:f>IF(A46="","", "LOSS-"&amp;A46&amp;"-L"&amp;TEXT(B46,"00")&amp;"-"&amp;TEXT(C46,"yyyymmdd")&amp;"-"&amp;D46&amp;"-"&amp;E46)</x:f>
        <x:v>LOSS-KG01-L23-20251026-PM-ORD-2025-00094</x:v>
      </x:c>
      <x:c r="V46" t="str">
        <x:f>IF(U46="","",IF(COUNTIF($U$5:$U$120,U46)=1,"OK","CHECK"))</x:f>
        <x:v>OK</x:v>
      </x:c>
      <x:c r="W46" t="str">
        <x:f>IF(A46="","",IF(AND(T46="OK",V46="OK",G46&gt;=0),"OK","CHECK"))</x:f>
        <x:v>OK</x:v>
      </x:c>
    </x:row>
    <x:row r="47" ht="18" customHeight="1">
      <x:c r="A47" s="9" t="s">
        <x:v>31</x:v>
      </x:c>
      <x:c r="B47" s="10">
        <x:v>24</x:v>
      </x:c>
      <x:c r="C47" s="8">
        <x:v>45950</x:v>
      </x:c>
      <x:c r="D47" s="9" t="s">
        <x:v>32</x:v>
      </x:c>
      <x:c r="E47" s="9" t="s">
        <x:v>45</x:v>
      </x:c>
      <x:c r="F47" s="9" t="s">
        <x:v>34</x:v>
      </x:c>
      <x:c r="G47" s="11">
        <x:v>14398</x:v>
      </x:c>
      <x:c r="H47" s="12">
        <x:v>3.5853976531942632E-3</x:v>
      </x:c>
      <x:c r="I47" s="12">
        <x:v>6.3830943068231205E-3</x:v>
      </x:c>
      <x:c r="J47" s="12">
        <x:v>3.0896892655367233E-3</x:v>
      </x:c>
      <x:c r="K47" s="12">
        <x:v>1.8832391713747645E-3</x:v>
      </x:c>
      <x:c r="L47" s="12">
        <x:v>2.4355352745183256E-3</x:v>
      </x:c>
      <x:c r="M47" s="12">
        <x:v>2.4310082572794435E-3</x:v>
      </x:c>
      <x:c r="N47" s="12">
        <x:v>3.1689120672171518E-4</x:v>
      </x:c>
      <x:c r="O47" s="12">
        <x:v>2.349521946979574E-3</x:v>
      </x:c>
      <x:c r="P47" s="12">
        <x:v>9.8688975807619873E-4</x:v>
      </x:c>
      <x:c r="Q47" s="12">
        <x:v>3.7189446617412721E-3</x:v>
      </x:c>
      <x:c r="R47" s="12">
        <x:v>5.4097856004635663E-3</x:v>
      </x:c>
      <x:c r="S47" t="n">
        <x:f>IF(A47="","",SUM(H47:R47))</x:f>
        <x:v>0.03258999710270897</x:v>
      </x:c>
      <x:c r="T47" t="str">
        <x:f>IF(A47="","",IF(AND(MIN(H47:R47)&gt;=0,MAX(H47:R47)&lt;=1,S47&lt;=1),"OK","CHECK"))</x:f>
        <x:v>OK</x:v>
      </x:c>
      <x:c r="U47" t="str">
        <x:f>IF(A47="","", "LOSS-"&amp;A47&amp;"-L"&amp;TEXT(B47,"00")&amp;"-"&amp;TEXT(C47,"yyyymmdd")&amp;"-"&amp;D47&amp;"-"&amp;E47)</x:f>
        <x:v>LOSS-KG01-L24-20251020-AM-ORD-2025-00124</x:v>
      </x:c>
      <x:c r="V47" t="str">
        <x:f>IF(U47="","",IF(COUNTIF($U$5:$U$120,U47)=1,"OK","CHECK"))</x:f>
        <x:v>OK</x:v>
      </x:c>
      <x:c r="W47" t="str">
        <x:f>IF(A47="","",IF(AND(T47="OK",V47="OK",G47&gt;=0),"OK","CHECK"))</x:f>
        <x:v>OK</x:v>
      </x:c>
    </x:row>
    <x:row r="48" ht="18" customHeight="1">
      <x:c r="A48" s="9" t="s">
        <x:v>31</x:v>
      </x:c>
      <x:c r="B48" s="10">
        <x:v>24</x:v>
      </x:c>
      <x:c r="C48" s="8">
        <x:v>45950</x:v>
      </x:c>
      <x:c r="D48" s="9" t="s">
        <x:v>35</x:v>
      </x:c>
      <x:c r="E48" s="9" t="s">
        <x:v>45</x:v>
      </x:c>
      <x:c r="F48" s="9" t="s">
        <x:v>34</x:v>
      </x:c>
      <x:c r="G48" s="11">
        <x:v>17796</x:v>
      </x:c>
      <x:c r="H48" s="12">
        <x:v>5.4259199534856259E-3</x:v>
      </x:c>
      <x:c r="I48" s="12">
        <x:v>1.3702208070062276E-2</x:v>
      </x:c>
      <x:c r="J48" s="12">
        <x:v>1.6398133974117293E-3</x:v>
      </x:c>
      <x:c r="K48" s="12">
        <x:v>4.058651719078616E-3</x:v>
      </x:c>
      <x:c r="L48" s="12">
        <x:v>2.2939217886230566E-3</x:v>
      </x:c>
      <x:c r="M48" s="12">
        <x:v>1.1537745233866463E-3</x:v>
      </x:c>
      <x:c r="N48" s="12">
        <x:v>2.8889787278500276E-3</x:v>
      </x:c>
      <x:c r="O48" s="12">
        <x:v>1.2105547656792962E-3</x:v>
      </x:c>
      <x:c r="P48" s="12">
        <x:v>1.8533071084320932E-3</x:v>
      </x:c>
      <x:c r="Q48" s="12">
        <x:v>4.2721454300989796E-3</x:v>
      </x:c>
      <x:c r="R48" s="12">
        <x:v>1.919172189491567E-3</x:v>
      </x:c>
      <x:c r="S48" t="n">
        <x:f>IF(A48="","",SUM(H48:R48))</x:f>
        <x:v>0.040418447673599915</x:v>
      </x:c>
      <x:c r="T48" t="str">
        <x:f>IF(A48="","",IF(AND(MIN(H48:R48)&gt;=0,MAX(H48:R48)&lt;=1,S48&lt;=1),"OK","CHECK"))</x:f>
        <x:v>OK</x:v>
      </x:c>
      <x:c r="U48" t="str">
        <x:f>IF(A48="","", "LOSS-"&amp;A48&amp;"-L"&amp;TEXT(B48,"00")&amp;"-"&amp;TEXT(C48,"yyyymmdd")&amp;"-"&amp;D48&amp;"-"&amp;E48)</x:f>
        <x:v>LOSS-KG01-L24-20251020-PM-ORD-2025-00124</x:v>
      </x:c>
      <x:c r="V48" t="str">
        <x:f>IF(U48="","",IF(COUNTIF($U$5:$U$120,U48)=1,"OK","CHECK"))</x:f>
        <x:v>OK</x:v>
      </x:c>
      <x:c r="W48" t="str">
        <x:f>IF(A48="","",IF(AND(T48="OK",V48="OK",G48&gt;=0),"OK","CHECK"))</x:f>
        <x:v>OK</x:v>
      </x:c>
    </x:row>
    <x:row r="49" ht="18" customHeight="1">
      <x:c r="A49" s="9" t="s">
        <x:v>31</x:v>
      </x:c>
      <x:c r="B49" s="10">
        <x:v>24</x:v>
      </x:c>
      <x:c r="C49" s="8">
        <x:v>45951</x:v>
      </x:c>
      <x:c r="D49" s="9" t="s">
        <x:v>32</x:v>
      </x:c>
      <x:c r="E49" s="9" t="s">
        <x:v>46</x:v>
      </x:c>
      <x:c r="F49" s="9" t="s">
        <x:v>34</x:v>
      </x:c>
      <x:c r="G49" s="11">
        <x:v>6939</x:v>
      </x:c>
      <x:c r="H49" s="12">
        <x:v>4.0729971602158684E-3</x:v>
      </x:c>
      <x:c r="I49" s="12">
        <x:v>1.1251654655096338E-2</x:v>
      </x:c>
      <x:c r="J49" s="12">
        <x:v>2.6135065111385159E-3</x:v>
      </x:c>
      <x:c r="K49" s="12">
        <x:v>2.8058424881487096E-3</x:v>
      </x:c>
      <x:c r="L49" s="12">
        <x:v>2.6644189756412141E-3</x:v>
      </x:c>
      <x:c r="M49" s="12">
        <x:v>2.9925215246586036E-3</x:v>
      </x:c>
      <x:c r="N49" s="12">
        <x:v>3.1226311561654996E-3</x:v>
      </x:c>
      <x:c r="O49" s="12">
        <x:v>1.0635048140563658E-3</x:v>
      </x:c>
      <x:c r="P49" s="12">
        <x:v>9.3905212304976982E-4</x:v>
      </x:c>
      <x:c r="Q49" s="12">
        <x:v>6.1321235023250025E-3</x:v>
      </x:c>
      <x:c r="R49" s="12">
        <x:v>1.5952572210845486E-3</x:v>
      </x:c>
      <x:c r="S49" t="n">
        <x:f>IF(A49="","",SUM(H49:R49))</x:f>
        <x:v>0.03925351013158044</x:v>
      </x:c>
      <x:c r="T49" t="str">
        <x:f>IF(A49="","",IF(AND(MIN(H49:R49)&gt;=0,MAX(H49:R49)&lt;=1,S49&lt;=1),"OK","CHECK"))</x:f>
        <x:v>OK</x:v>
      </x:c>
      <x:c r="U49" t="str">
        <x:f>IF(A49="","", "LOSS-"&amp;A49&amp;"-L"&amp;TEXT(B49,"00")&amp;"-"&amp;TEXT(C49,"yyyymmdd")&amp;"-"&amp;D49&amp;"-"&amp;E49)</x:f>
        <x:v>LOSS-KG01-L24-20251021-AM-ORD-2025-00125</x:v>
      </x:c>
      <x:c r="V49" t="str">
        <x:f>IF(U49="","",IF(COUNTIF($U$5:$U$120,U49)=1,"OK","CHECK"))</x:f>
        <x:v>OK</x:v>
      </x:c>
      <x:c r="W49" t="str">
        <x:f>IF(A49="","",IF(AND(T49="OK",V49="OK",G49&gt;=0),"OK","CHECK"))</x:f>
        <x:v>OK</x:v>
      </x:c>
    </x:row>
    <x:row r="50" ht="18" customHeight="1">
      <x:c r="A50" s="9" t="s">
        <x:v>31</x:v>
      </x:c>
      <x:c r="B50" s="10">
        <x:v>24</x:v>
      </x:c>
      <x:c r="C50" s="8">
        <x:v>45951</x:v>
      </x:c>
      <x:c r="D50" s="9" t="s">
        <x:v>35</x:v>
      </x:c>
      <x:c r="E50" s="9" t="s">
        <x:v>46</x:v>
      </x:c>
      <x:c r="F50" s="9" t="s">
        <x:v>34</x:v>
      </x:c>
      <x:c r="G50" s="11">
        <x:v>11230</x:v>
      </x:c>
      <x:c r="H50" s="12">
        <x:v>4.5993219624212989E-3</x:v>
      </x:c>
      <x:c r="I50" s="12">
        <x:v>6.1873400038876787E-3</x:v>
      </x:c>
      <x:c r="J50" s="12">
        <x:v>2.8894021210913176E-3</x:v>
      </x:c>
      <x:c r="K50" s="12">
        <x:v>2.9552949858824536E-3</x:v>
      </x:c>
      <x:c r="L50" s="12">
        <x:v>2.7938574671441704E-3</x:v>
      </x:c>
      <x:c r="M50" s="12">
        <x:v>2.9454110561637835E-3</x:v>
      </x:c>
      <x:c r="N50" s="12">
        <x:v>8.4342866932654202E-4</x:v>
      </x:c>
      <x:c r="O50" s="12">
        <x:v>1.2915001499062674E-3</x:v>
      </x:c>
      <x:c r="P50" s="12">
        <x:v>2.0031430896505372E-3</x:v>
      </x:c>
      <x:c r="Q50" s="12">
        <x:v>7.9499741370505691E-3</x:v>
      </x:c>
      <x:c r="R50" s="12">
        <x:v>2.5401699376982963E-3</x:v>
      </x:c>
      <x:c r="S50" t="n">
        <x:f>IF(A50="","",SUM(H50:R50))</x:f>
        <x:v>0.036998843580222915</x:v>
      </x:c>
      <x:c r="T50" t="str">
        <x:f>IF(A50="","",IF(AND(MIN(H50:R50)&gt;=0,MAX(H50:R50)&lt;=1,S50&lt;=1),"OK","CHECK"))</x:f>
        <x:v>OK</x:v>
      </x:c>
      <x:c r="U50" t="str">
        <x:f>IF(A50="","", "LOSS-"&amp;A50&amp;"-L"&amp;TEXT(B50,"00")&amp;"-"&amp;TEXT(C50,"yyyymmdd")&amp;"-"&amp;D50&amp;"-"&amp;E50)</x:f>
        <x:v>LOSS-KG01-L24-20251021-PM-ORD-2025-00125</x:v>
      </x:c>
      <x:c r="V50" t="str">
        <x:f>IF(U50="","",IF(COUNTIF($U$5:$U$120,U50)=1,"OK","CHECK"))</x:f>
        <x:v>OK</x:v>
      </x:c>
      <x:c r="W50" t="str">
        <x:f>IF(A50="","",IF(AND(T50="OK",V50="OK",G50&gt;=0),"OK","CHECK"))</x:f>
        <x:v>OK</x:v>
      </x:c>
    </x:row>
    <x:row r="51" ht="18" customHeight="1">
      <x:c r="A51" s="9" t="s">
        <x:v>31</x:v>
      </x:c>
      <x:c r="B51" s="10">
        <x:v>24</x:v>
      </x:c>
      <x:c r="C51" s="8">
        <x:v>45952</x:v>
      </x:c>
      <x:c r="D51" s="9" t="s">
        <x:v>32</x:v>
      </x:c>
      <x:c r="E51" s="9" t="s">
        <x:v>46</x:v>
      </x:c>
      <x:c r="F51" s="9" t="s">
        <x:v>34</x:v>
      </x:c>
      <x:c r="G51" s="11">
        <x:v>6331</x:v>
      </x:c>
      <x:c r="H51" s="12">
        <x:v>1.6322412155745489E-3</x:v>
      </x:c>
      <x:c r="I51" s="12">
        <x:v>5.1901973198269493E-3</x:v>
      </x:c>
      <x:c r="J51" s="12">
        <x:v>3.0237680700643662E-3</x:v>
      </x:c>
      <x:c r="K51" s="12">
        <x:v>1.5662920755513349E-3</x:v>
      </x:c>
      <x:c r="L51" s="12">
        <x:v>1.0848633533818719E-3</x:v>
      </x:c>
      <x:c r="M51" s="12">
        <x:v>2.0444233407196371E-4</x:v>
      </x:c>
      <x:c r="N51" s="12">
        <x:v>1.408014139495621E-3</x:v>
      </x:c>
      <x:c r="O51" s="12">
        <x:v>1.342064999472407E-3</x:v>
      </x:c>
      <x:c r="P51" s="12">
        <x:v>1.8333860926453519E-3</x:v>
      </x:c>
      <x:c r="Q51" s="12">
        <x:v>1.9389047166824944E-3</x:v>
      </x:c>
      <x:c r="R51" s="12">
        <x:v>1.6520259575815131E-3</x:v>
      </x:c>
      <x:c r="S51" t="n">
        <x:f>IF(A51="","",SUM(H51:R51))</x:f>
        <x:v>0.02087620027434842</x:v>
      </x:c>
      <x:c r="T51" t="str">
        <x:f>IF(A51="","",IF(AND(MIN(H51:R51)&gt;=0,MAX(H51:R51)&lt;=1,S51&lt;=1),"OK","CHECK"))</x:f>
        <x:v>OK</x:v>
      </x:c>
      <x:c r="U51" t="str">
        <x:f>IF(A51="","", "LOSS-"&amp;A51&amp;"-L"&amp;TEXT(B51,"00")&amp;"-"&amp;TEXT(C51,"yyyymmdd")&amp;"-"&amp;D51&amp;"-"&amp;E51)</x:f>
        <x:v>LOSS-KG01-L24-20251022-AM-ORD-2025-00125</x:v>
      </x:c>
      <x:c r="V51" t="str">
        <x:f>IF(U51="","",IF(COUNTIF($U$5:$U$120,U51)=1,"OK","CHECK"))</x:f>
        <x:v>OK</x:v>
      </x:c>
      <x:c r="W51" t="str">
        <x:f>IF(A51="","",IF(AND(T51="OK",V51="OK",G51&gt;=0),"OK","CHECK"))</x:f>
        <x:v>OK</x:v>
      </x:c>
    </x:row>
    <x:row r="52" ht="18" customHeight="1">
      <x:c r="A52" s="9" t="s">
        <x:v>31</x:v>
      </x:c>
      <x:c r="B52" s="10">
        <x:v>24</x:v>
      </x:c>
      <x:c r="C52" s="8">
        <x:v>45952</x:v>
      </x:c>
      <x:c r="D52" s="9" t="s">
        <x:v>35</x:v>
      </x:c>
      <x:c r="E52" s="9" t="s">
        <x:v>46</x:v>
      </x:c>
      <x:c r="F52" s="9" t="s">
        <x:v>34</x:v>
      </x:c>
      <x:c r="G52" s="11">
        <x:v>12526</x:v>
      </x:c>
      <x:c r="H52" s="12">
        <x:v>4.5021415053620641E-3</x:v>
      </x:c>
      <x:c r="I52" s="12">
        <x:v>1.0352269331651117E-2</x:v>
      </x:c>
      <x:c r="J52" s="12">
        <x:v>3.8713104684750489E-3</x:v>
      </x:c>
      <x:c r="K52" s="12">
        <x:v>4.4290979116172512E-3</x:v>
      </x:c>
      <x:c r="L52" s="12">
        <x:v>1.7762873933397524E-3</x:v>
      </x:c>
      <x:c r="M52" s="12">
        <x:v>1.7065639629469771E-3</x:v>
      </x:c>
      <x:c r="N52" s="12">
        <x:v>1.00268933231515E-3</x:v>
      </x:c>
      <x:c r="O52" s="12">
        <x:v>1.9090939274212292E-3</x:v>
      </x:c>
      <x:c r="P52" s="12">
        <x:v>3.6986619741691293E-3</x:v>
      </x:c>
      <x:c r="Q52" s="12">
        <x:v>4.9835651914074174E-3</x:v>
      </x:c>
      <x:c r="R52" s="12">
        <x:v>3.3566851489093262E-3</x:v>
      </x:c>
      <x:c r="S52" t="n">
        <x:f>IF(A52="","",SUM(H52:R52))</x:f>
        <x:v>0.041588366147614464</x:v>
      </x:c>
      <x:c r="T52" t="str">
        <x:f>IF(A52="","",IF(AND(MIN(H52:R52)&gt;=0,MAX(H52:R52)&lt;=1,S52&lt;=1),"OK","CHECK"))</x:f>
        <x:v>OK</x:v>
      </x:c>
      <x:c r="U52" t="str">
        <x:f>IF(A52="","", "LOSS-"&amp;A52&amp;"-L"&amp;TEXT(B52,"00")&amp;"-"&amp;TEXT(C52,"yyyymmdd")&amp;"-"&amp;D52&amp;"-"&amp;E52)</x:f>
        <x:v>LOSS-KG01-L24-20251022-PM-ORD-2025-00125</x:v>
      </x:c>
      <x:c r="V52" t="str">
        <x:f>IF(U52="","",IF(COUNTIF($U$5:$U$120,U52)=1,"OK","CHECK"))</x:f>
        <x:v>OK</x:v>
      </x:c>
      <x:c r="W52" t="str">
        <x:f>IF(A52="","",IF(AND(T52="OK",V52="OK",G52&gt;=0),"OK","CHECK"))</x:f>
        <x:v>OK</x:v>
      </x:c>
    </x:row>
    <x:row r="53" ht="18" customHeight="1">
      <x:c r="A53" s="9" t="s">
        <x:v>31</x:v>
      </x:c>
      <x:c r="B53" s="10">
        <x:v>24</x:v>
      </x:c>
      <x:c r="C53" s="8">
        <x:v>45953</x:v>
      </x:c>
      <x:c r="D53" s="9" t="s">
        <x:v>32</x:v>
      </x:c>
      <x:c r="E53" s="9" t="s">
        <x:v>46</x:v>
      </x:c>
      <x:c r="F53" s="9" t="s">
        <x:v>34</x:v>
      </x:c>
      <x:c r="G53" s="11">
        <x:v>16477</x:v>
      </x:c>
      <x:c r="H53" s="12">
        <x:v>6.0818934737895724E-3</x:v>
      </x:c>
      <x:c r="I53" s="12">
        <x:v>9.9635635684510553E-3</x:v>
      </x:c>
      <x:c r="J53" s="12">
        <x:v>3.3384804116035082E-3</x:v>
      </x:c>
      <x:c r="K53" s="12">
        <x:v>3.13402137359854E-3</x:v>
      </x:c>
      <x:c r="L53" s="12">
        <x:v>2.9661818647884917E-3</x:v>
      </x:c>
      <x:c r="M53" s="12">
        <x:v>3.3262739018718682E-3</x:v>
      </x:c>
      <x:c r="N53" s="12">
        <x:v>1.6387239314726543E-3</x:v>
      </x:c>
      <x:c r="O53" s="12">
        <x:v>6.7746129010601351E-4</x:v>
      </x:c>
      <x:c r="P53" s="12">
        <x:v>1.480039304961336E-3</x:v>
      </x:c>
      <x:c r="Q53" s="12">
        <x:v>1.0473185349747021E-2</x:v>
      </x:c>
      <x:c r="R53" s="12">
        <x:v>7.2018407416675314E-3</x:v>
      </x:c>
      <x:c r="S53" t="n">
        <x:f>IF(A53="","",SUM(H53:R53))</x:f>
        <x:v>0.05028166521205759</x:v>
      </x:c>
      <x:c r="T53" t="str">
        <x:f>IF(A53="","",IF(AND(MIN(H53:R53)&gt;=0,MAX(H53:R53)&lt;=1,S53&lt;=1),"OK","CHECK"))</x:f>
        <x:v>OK</x:v>
      </x:c>
      <x:c r="U53" t="str">
        <x:f>IF(A53="","", "LOSS-"&amp;A53&amp;"-L"&amp;TEXT(B53,"00")&amp;"-"&amp;TEXT(C53,"yyyymmdd")&amp;"-"&amp;D53&amp;"-"&amp;E53)</x:f>
        <x:v>LOSS-KG01-L24-20251023-AM-ORD-2025-00125</x:v>
      </x:c>
      <x:c r="V53" t="str">
        <x:f>IF(U53="","",IF(COUNTIF($U$5:$U$120,U53)=1,"OK","CHECK"))</x:f>
        <x:v>OK</x:v>
      </x:c>
      <x:c r="W53" t="str">
        <x:f>IF(A53="","",IF(AND(T53="OK",V53="OK",G53&gt;=0),"OK","CHECK"))</x:f>
        <x:v>OK</x:v>
      </x:c>
    </x:row>
    <x:row r="54" ht="18" customHeight="1">
      <x:c r="A54" s="9" t="s">
        <x:v>31</x:v>
      </x:c>
      <x:c r="B54" s="10">
        <x:v>24</x:v>
      </x:c>
      <x:c r="C54" s="8">
        <x:v>45953</x:v>
      </x:c>
      <x:c r="D54" s="9" t="s">
        <x:v>35</x:v>
      </x:c>
      <x:c r="E54" s="9" t="s">
        <x:v>46</x:v>
      </x:c>
      <x:c r="F54" s="9" t="s">
        <x:v>34</x:v>
      </x:c>
      <x:c r="G54" s="11">
        <x:v>9377</x:v>
      </x:c>
      <x:c r="H54" s="12">
        <x:v>2.4183276223964409E-3</x:v>
      </x:c>
      <x:c r="I54" s="12">
        <x:v>7.2765110062611004E-3</x:v>
      </x:c>
      <x:c r="J54" s="12">
        <x:v>4.2482194434976051E-3</x:v>
      </x:c>
      <x:c r="K54" s="12">
        <x:v>4.0114099137080429E-3</x:v>
      </x:c>
      <x:c r="L54" s="12">
        <x:v>3.6310794567732908E-3</x:v>
      </x:c>
      <x:c r="M54" s="12">
        <x:v>1.4675014800595613E-3</x:v>
      </x:c>
      <x:c r="N54" s="12">
        <x:v>1.1302273012683663E-3</x:v>
      </x:c>
      <x:c r="O54" s="12">
        <x:v>1.5428499668107857E-4</x:v>
      </x:c>
      <x:c r="P54" s="12">
        <x:v>4.3558601388564971E-3</x:v>
      </x:c>
      <x:c r="Q54" s="12">
        <x:v>3.9396494501354479E-3</x:v>
      </x:c>
      <x:c r="R54" s="12">
        <x:v>1.011822536373585E-3</x:v>
      </x:c>
      <x:c r="S54" t="n">
        <x:f>IF(A54="","",SUM(H54:R54))</x:f>
        <x:v>0.03364489334601102</x:v>
      </x:c>
      <x:c r="T54" t="str">
        <x:f>IF(A54="","",IF(AND(MIN(H54:R54)&gt;=0,MAX(H54:R54)&lt;=1,S54&lt;=1),"OK","CHECK"))</x:f>
        <x:v>OK</x:v>
      </x:c>
      <x:c r="U54" t="str">
        <x:f>IF(A54="","", "LOSS-"&amp;A54&amp;"-L"&amp;TEXT(B54,"00")&amp;"-"&amp;TEXT(C54,"yyyymmdd")&amp;"-"&amp;D54&amp;"-"&amp;E54)</x:f>
        <x:v>LOSS-KG01-L24-20251023-PM-ORD-2025-00125</x:v>
      </x:c>
      <x:c r="V54" t="str">
        <x:f>IF(U54="","",IF(COUNTIF($U$5:$U$120,U54)=1,"OK","CHECK"))</x:f>
        <x:v>OK</x:v>
      </x:c>
      <x:c r="W54" t="str">
        <x:f>IF(A54="","",IF(AND(T54="OK",V54="OK",G54&gt;=0),"OK","CHECK"))</x:f>
        <x:v>OK</x:v>
      </x:c>
    </x:row>
    <x:row r="55" ht="18" customHeight="1">
      <x:c r="A55" s="9" t="s">
        <x:v>31</x:v>
      </x:c>
      <x:c r="B55" s="10">
        <x:v>24</x:v>
      </x:c>
      <x:c r="C55" s="8">
        <x:v>45954</x:v>
      </x:c>
      <x:c r="D55" s="9" t="s">
        <x:v>32</x:v>
      </x:c>
      <x:c r="E55" s="9" t="s">
        <x:v>46</x:v>
      </x:c>
      <x:c r="F55" s="9" t="s">
        <x:v>34</x:v>
      </x:c>
      <x:c r="G55" s="11">
        <x:v>13071</x:v>
      </x:c>
      <x:c r="H55" s="12">
        <x:v>7.0775443208970943E-3</x:v>
      </x:c>
      <x:c r="I55" s="12">
        <x:v>1.2688014293080783E-2</x:v>
      </x:c>
      <x:c r="J55" s="12">
        <x:v>5.7847758353971636E-3</x:v>
      </x:c>
      <x:c r="K55" s="12">
        <x:v>2.0045174269549492E-3</x:v>
      </x:c>
      <x:c r="L55" s="12">
        <x:v>4.3394897195854426E-3</x:v>
      </x:c>
      <x:c r="M55" s="12">
        <x:v>1.4815998373145277E-3</x:v>
      </x:c>
      <x:c r="N55" s="12">
        <x:v>1.0966743893847729E-3</x:v>
      </x:c>
      <x:c r="O55" s="12">
        <x:v>1.7103762827822121E-3</x:v>
      </x:c>
      <x:c r="P55" s="12">
        <x:v>3.2101329808481432E-3</x:v>
      </x:c>
      <x:c r="Q55" s="12">
        <x:v>4.190603461423934E-3</x:v>
      </x:c>
      <x:c r="R55" s="12">
        <x:v>3.8819368286500738E-3</x:v>
      </x:c>
      <x:c r="S55" t="n">
        <x:f>IF(A55="","",SUM(H55:R55))</x:f>
        <x:v>0.047465665376319105</x:v>
      </x:c>
      <x:c r="T55" t="str">
        <x:f>IF(A55="","",IF(AND(MIN(H55:R55)&gt;=0,MAX(H55:R55)&lt;=1,S55&lt;=1),"OK","CHECK"))</x:f>
        <x:v>OK</x:v>
      </x:c>
      <x:c r="U55" t="str">
        <x:f>IF(A55="","", "LOSS-"&amp;A55&amp;"-L"&amp;TEXT(B55,"00")&amp;"-"&amp;TEXT(C55,"yyyymmdd")&amp;"-"&amp;D55&amp;"-"&amp;E55)</x:f>
        <x:v>LOSS-KG01-L24-20251024-AM-ORD-2025-00125</x:v>
      </x:c>
      <x:c r="V55" t="str">
        <x:f>IF(U55="","",IF(COUNTIF($U$5:$U$120,U55)=1,"OK","CHECK"))</x:f>
        <x:v>OK</x:v>
      </x:c>
      <x:c r="W55" t="str">
        <x:f>IF(A55="","",IF(AND(T55="OK",V55="OK",G55&gt;=0),"OK","CHECK"))</x:f>
        <x:v>OK</x:v>
      </x:c>
    </x:row>
    <x:row r="56" ht="18" customHeight="1">
      <x:c r="A56" s="9" t="s">
        <x:v>31</x:v>
      </x:c>
      <x:c r="B56" s="10">
        <x:v>24</x:v>
      </x:c>
      <x:c r="C56" s="8">
        <x:v>45954</x:v>
      </x:c>
      <x:c r="D56" s="9" t="s">
        <x:v>35</x:v>
      </x:c>
      <x:c r="E56" s="9" t="s">
        <x:v>46</x:v>
      </x:c>
      <x:c r="F56" s="9" t="s">
        <x:v>34</x:v>
      </x:c>
      <x:c r="G56" s="11">
        <x:v>14154</x:v>
      </x:c>
      <x:c r="H56" s="12">
        <x:v>5.3449053815475094E-3</x:v>
      </x:c>
      <x:c r="I56" s="12">
        <x:v>9.9266854621601897E-3</x:v>
      </x:c>
      <x:c r="J56" s="12">
        <x:v>6.0959175824674989E-3</x:v>
      </x:c>
      <x:c r="K56" s="12">
        <x:v>3.0252467287059273E-3</x:v>
      </x:c>
      <x:c r="L56" s="12">
        <x:v>2.4529027530048059E-3</x:v>
      </x:c>
      <x:c r="M56" s="12">
        <x:v>3.0101053536873792E-3</x:v>
      </x:c>
      <x:c r="N56" s="12">
        <x:v>2.2227538527228733E-3</x:v>
      </x:c>
      <x:c r="O56" s="12">
        <x:v>1.6625229770365906E-3</x:v>
      </x:c>
      <x:c r="P56" s="12">
        <x:v>2.2712062527822274E-3</x:v>
      </x:c>
      <x:c r="Q56" s="12">
        <x:v>5.6780156319555693E-3</x:v>
      </x:c>
      <x:c r="R56" s="12">
        <x:v>1.1719424264356295E-3</x:v>
      </x:c>
      <x:c r="S56" t="n">
        <x:f>IF(A56="","",SUM(H56:R56))</x:f>
        <x:v>0.04286220440250621</x:v>
      </x:c>
      <x:c r="T56" t="str">
        <x:f>IF(A56="","",IF(AND(MIN(H56:R56)&gt;=0,MAX(H56:R56)&lt;=1,S56&lt;=1),"OK","CHECK"))</x:f>
        <x:v>OK</x:v>
      </x:c>
      <x:c r="U56" t="str">
        <x:f>IF(A56="","", "LOSS-"&amp;A56&amp;"-L"&amp;TEXT(B56,"00")&amp;"-"&amp;TEXT(C56,"yyyymmdd")&amp;"-"&amp;D56&amp;"-"&amp;E56)</x:f>
        <x:v>LOSS-KG01-L24-20251024-PM-ORD-2025-00125</x:v>
      </x:c>
      <x:c r="V56" t="str">
        <x:f>IF(U56="","",IF(COUNTIF($U$5:$U$120,U56)=1,"OK","CHECK"))</x:f>
        <x:v>OK</x:v>
      </x:c>
      <x:c r="W56" t="str">
        <x:f>IF(A56="","",IF(AND(T56="OK",V56="OK",G56&gt;=0),"OK","CHECK"))</x:f>
        <x:v>OK</x:v>
      </x:c>
    </x:row>
    <x:row r="57" ht="18" customHeight="1">
      <x:c r="A57" s="9" t="s">
        <x:v>31</x:v>
      </x:c>
      <x:c r="B57" s="10">
        <x:v>24</x:v>
      </x:c>
      <x:c r="C57" s="8">
        <x:v>45955</x:v>
      </x:c>
      <x:c r="D57" s="9" t="s">
        <x:v>32</x:v>
      </x:c>
      <x:c r="E57" s="9" t="s">
        <x:v>47</x:v>
      </x:c>
      <x:c r="F57" s="9" t="s">
        <x:v>34</x:v>
      </x:c>
      <x:c r="G57" s="11">
        <x:v>4816</x:v>
      </x:c>
      <x:c r="H57" s="12">
        <x:v>5.4007272532102463E-3</x:v>
      </x:c>
      <x:c r="I57" s="12">
        <x:v>6.5747983952124736E-3</x:v>
      </x:c>
      <x:c r="J57" s="12">
        <x:v>8.4533122224160376E-4</x:v>
      </x:c>
      <x:c r="K57" s="12">
        <x:v>4.1327304198478408E-3</x:v>
      </x:c>
      <x:c r="L57" s="12">
        <x:v>2.8848605203483303E-3</x:v>
      </x:c>
      <x:c r="M57" s="12">
        <x:v>2.9720772337542101E-3</x:v>
      </x:c>
      <x:c r="N57" s="12">
        <x:v>2.334724328095858E-3</x:v>
      </x:c>
      <x:c r="O57" s="12">
        <x:v>2.1468729453755016E-3</x:v>
      </x:c>
      <x:c r="P57" s="12">
        <x:v>1.4692661719913588E-3</x:v>
      </x:c>
      <x:c r="Q57" s="12">
        <x:v>2.5225757108162145E-3</x:v>
      </x:c>
      <x:c r="R57" s="12">
        <x:v>1.0264736270076617E-3</x:v>
      </x:c>
      <x:c r="S57" t="n">
        <x:f>IF(A57="","",SUM(H57:R57))</x:f>
        <x:v>0.0323104378279013</x:v>
      </x:c>
      <x:c r="T57" t="str">
        <x:f>IF(A57="","",IF(AND(MIN(H57:R57)&gt;=0,MAX(H57:R57)&lt;=1,S57&lt;=1),"OK","CHECK"))</x:f>
        <x:v>OK</x:v>
      </x:c>
      <x:c r="U57" t="str">
        <x:f>IF(A57="","", "LOSS-"&amp;A57&amp;"-L"&amp;TEXT(B57,"00")&amp;"-"&amp;TEXT(C57,"yyyymmdd")&amp;"-"&amp;D57&amp;"-"&amp;E57)</x:f>
        <x:v>LOSS-KG01-L24-20251025-AM-ORD-2025-00126</x:v>
      </x:c>
      <x:c r="V57" t="str">
        <x:f>IF(U57="","",IF(COUNTIF($U$5:$U$120,U57)=1,"OK","CHECK"))</x:f>
        <x:v>OK</x:v>
      </x:c>
      <x:c r="W57" t="str">
        <x:f>IF(A57="","",IF(AND(T57="OK",V57="OK",G57&gt;=0),"OK","CHECK"))</x:f>
        <x:v>OK</x:v>
      </x:c>
    </x:row>
    <x:row r="58" ht="18" customHeight="1">
      <x:c r="A58" s="9" t="s">
        <x:v>31</x:v>
      </x:c>
      <x:c r="B58" s="10">
        <x:v>24</x:v>
      </x:c>
      <x:c r="C58" s="8">
        <x:v>45955</x:v>
      </x:c>
      <x:c r="D58" s="9" t="s">
        <x:v>35</x:v>
      </x:c>
      <x:c r="E58" s="9" t="s">
        <x:v>47</x:v>
      </x:c>
      <x:c r="F58" s="9" t="s">
        <x:v>34</x:v>
      </x:c>
      <x:c r="G58" s="11">
        <x:v>6779</x:v>
      </x:c>
      <x:c r="H58" s="12">
        <x:v>8.54678133265987E-3</x:v>
      </x:c>
      <x:c r="I58" s="12">
        <x:v>1.3105950846038307E-2</x:v>
      </x:c>
      <x:c r="J58" s="12">
        <x:v>1.4621243337365252E-3</x:v>
      </x:c>
      <x:c r="K58" s="12">
        <x:v>3.3163638297023911E-3</x:v>
      </x:c>
      <x:c r="L58" s="12">
        <x:v>3.7151250116305343E-3</x:v>
      </x:c>
      <x:c r="M58" s="12">
        <x:v>1.9672218308455064E-3</x:v>
      </x:c>
      <x:c r="N58" s="12">
        <x:v>2.7049300174125717E-3</x:v>
      </x:c>
      <x:c r="O58" s="12">
        <x:v>6.7124798957904114E-4</x:v>
      </x:c>
      <x:c r="P58" s="12">
        <x:v>1.8276554171706564E-3</x:v>
      </x:c>
      <x:c r="Q58" s="12">
        <x:v>5.5228423697047842E-3</x:v>
      </x:c>
      <x:c r="R58" s="12">
        <x:v>2.213124559701195E-3</x:v>
      </x:c>
      <x:c r="S58" t="n">
        <x:f>IF(A58="","",SUM(H58:R58))</x:f>
        <x:v>0.04505336753818138</x:v>
      </x:c>
      <x:c r="T58" t="str">
        <x:f>IF(A58="","",IF(AND(MIN(H58:R58)&gt;=0,MAX(H58:R58)&lt;=1,S58&lt;=1),"OK","CHECK"))</x:f>
        <x:v>OK</x:v>
      </x:c>
      <x:c r="U58" t="str">
        <x:f>IF(A58="","", "LOSS-"&amp;A58&amp;"-L"&amp;TEXT(B58,"00")&amp;"-"&amp;TEXT(C58,"yyyymmdd")&amp;"-"&amp;D58&amp;"-"&amp;E58)</x:f>
        <x:v>LOSS-KG01-L24-20251025-PM-ORD-2025-00126</x:v>
      </x:c>
      <x:c r="V58" t="str">
        <x:f>IF(U58="","",IF(COUNTIF($U$5:$U$120,U58)=1,"OK","CHECK"))</x:f>
        <x:v>OK</x:v>
      </x:c>
      <x:c r="W58" t="str">
        <x:f>IF(A58="","",IF(AND(T58="OK",V58="OK",G58&gt;=0),"OK","CHECK"))</x:f>
        <x:v>OK</x:v>
      </x:c>
    </x:row>
    <x:row r="59" ht="18" customHeight="1">
      <x:c r="A59" s="9" t="s">
        <x:v>31</x:v>
      </x:c>
      <x:c r="B59" s="10">
        <x:v>24</x:v>
      </x:c>
      <x:c r="C59" s="8">
        <x:v>45956</x:v>
      </x:c>
      <x:c r="D59" s="9" t="s">
        <x:v>32</x:v>
      </x:c>
      <x:c r="E59" s="9" t="s">
        <x:v>47</x:v>
      </x:c>
      <x:c r="F59" s="9" t="s">
        <x:v>34</x:v>
      </x:c>
      <x:c r="G59" s="11">
        <x:v>7322</x:v>
      </x:c>
      <x:c r="H59" s="12">
        <x:v>2.7094723800802608E-3</x:v>
      </x:c>
      <x:c r="I59" s="12">
        <x:v>5.289665759918123E-3</x:v>
      </x:c>
      <x:c r="J59" s="12">
        <x:v>2.4293678795550646E-3</x:v>
      </x:c>
      <x:c r="K59" s="12">
        <x:v>1.4813218777774786E-3</x:v>
      </x:c>
      <x:c r="L59" s="12">
        <x:v>4.7132968838374317E-3</x:v>
      </x:c>
      <x:c r="M59" s="12">
        <x:v>3.0057367556357564E-3</x:v>
      </x:c>
      <x:c r="N59" s="12">
        <x:v>1.5190282528481779E-3</x:v>
      </x:c>
      <x:c r="O59" s="12">
        <x:v>3.3828005063427508E-3</x:v>
      </x:c>
      <x:c r="P59" s="12">
        <x:v>2.7848851302216598E-3</x:v>
      </x:c>
      <x:c r="Q59" s="12">
        <x:v>8.0853241401599822E-3</x:v>
      </x:c>
      <x:c r="R59" s="12">
        <x:v>4.0399687575749417E-3</x:v>
      </x:c>
      <x:c r="S59" t="n">
        <x:f>IF(A59="","",SUM(H59:R59))</x:f>
        <x:v>0.03944086832395163</x:v>
      </x:c>
      <x:c r="T59" t="str">
        <x:f>IF(A59="","",IF(AND(MIN(H59:R59)&gt;=0,MAX(H59:R59)&lt;=1,S59&lt;=1),"OK","CHECK"))</x:f>
        <x:v>OK</x:v>
      </x:c>
      <x:c r="U59" t="str">
        <x:f>IF(A59="","", "LOSS-"&amp;A59&amp;"-L"&amp;TEXT(B59,"00")&amp;"-"&amp;TEXT(C59,"yyyymmdd")&amp;"-"&amp;D59&amp;"-"&amp;E59)</x:f>
        <x:v>LOSS-KG01-L24-20251026-AM-ORD-2025-00126</x:v>
      </x:c>
      <x:c r="V59" t="str">
        <x:f>IF(U59="","",IF(COUNTIF($U$5:$U$120,U59)=1,"OK","CHECK"))</x:f>
        <x:v>OK</x:v>
      </x:c>
      <x:c r="W59" t="str">
        <x:f>IF(A59="","",IF(AND(T59="OK",V59="OK",G59&gt;=0),"OK","CHECK"))</x:f>
        <x:v>OK</x:v>
      </x:c>
    </x:row>
    <x:row r="60" ht="18" customHeight="1">
      <x:c r="A60" s="9" t="s">
        <x:v>31</x:v>
      </x:c>
      <x:c r="B60" s="10">
        <x:v>24</x:v>
      </x:c>
      <x:c r="C60" s="8">
        <x:v>45956</x:v>
      </x:c>
      <x:c r="D60" s="9" t="s">
        <x:v>35</x:v>
      </x:c>
      <x:c r="E60" s="9" t="s">
        <x:v>47</x:v>
      </x:c>
      <x:c r="F60" s="9" t="s">
        <x:v>34</x:v>
      </x:c>
      <x:c r="G60" s="11">
        <x:v>7085</x:v>
      </x:c>
      <x:c r="H60" s="12">
        <x:v>1.2550121346417642E-2</x:v>
      </x:c>
      <x:c r="I60" s="12">
        <x:v>8.1776933628785482E-3</x:v>
      </x:c>
      <x:c r="J60" s="12">
        <x:v>3.4689247652210614E-3</x:v>
      </x:c>
      <x:c r="K60" s="12">
        <x:v>2.1631317927614225E-3</x:v>
      </x:c>
      <x:c r="L60" s="12">
        <x:v>5.928827688086947E-3</x:v>
      </x:c>
      <x:c r="M60" s="12">
        <x:v>4.814287221694629E-4</x:v>
      </x:c>
      <x:c r="N60" s="12">
        <x:v>3.6601772712883825E-3</x:v>
      </x:c>
      <x:c r="O60" s="12">
        <x:v>1.5563997045478528E-3</x:v>
      </x:c>
      <x:c r="P60" s="12">
        <x:v>3.6469874432837395E-3</x:v>
      </x:c>
      <x:c r="Q60" s="12">
        <x:v>2.9017621610214202E-3</x:v>
      </x:c>
      <x:c r="R60" s="12">
        <x:v>2.189511448770708E-3</x:v>
      </x:c>
      <x:c r="S60" t="n">
        <x:f>IF(A60="","",SUM(H60:R60))</x:f>
        <x:v>0.04672496570644718</x:v>
      </x:c>
      <x:c r="T60" t="str">
        <x:f>IF(A60="","",IF(AND(MIN(H60:R60)&gt;=0,MAX(H60:R60)&lt;=1,S60&lt;=1),"OK","CHECK"))</x:f>
        <x:v>OK</x:v>
      </x:c>
      <x:c r="U60" t="str">
        <x:f>IF(A60="","", "LOSS-"&amp;A60&amp;"-L"&amp;TEXT(B60,"00")&amp;"-"&amp;TEXT(C60,"yyyymmdd")&amp;"-"&amp;D60&amp;"-"&amp;E60)</x:f>
        <x:v>LOSS-KG01-L24-20251026-PM-ORD-2025-00126</x:v>
      </x:c>
      <x:c r="V60" t="str">
        <x:f>IF(U60="","",IF(COUNTIF($U$5:$U$120,U60)=1,"OK","CHECK"))</x:f>
        <x:v>OK</x:v>
      </x:c>
      <x:c r="W60" t="str">
        <x:f>IF(A60="","",IF(AND(T60="OK",V60="OK",G60&gt;=0),"OK","CHECK"))</x:f>
        <x:v>OK</x:v>
      </x:c>
    </x:row>
    <x:row r="61" ht="18" customHeight="1">
      <x:c r="A61" s="9" t="s">
        <x:v>31</x:v>
      </x:c>
      <x:c r="B61" s="10">
        <x:v>25</x:v>
      </x:c>
      <x:c r="C61" s="8">
        <x:v>45950</x:v>
      </x:c>
      <x:c r="D61" s="9" t="s">
        <x:v>32</x:v>
      </x:c>
      <x:c r="E61" s="9" t="s">
        <x:v>48</x:v>
      </x:c>
      <x:c r="F61" s="9" t="s">
        <x:v>34</x:v>
      </x:c>
      <x:c r="G61" s="11">
        <x:v>2749</x:v>
      </x:c>
      <x:c r="H61" s="12">
        <x:v>3.1595157179269331E-3</x:v>
      </x:c>
      <x:c r="I61" s="12">
        <x:v>6.6464882469555366E-3</x:v>
      </x:c>
      <x:c r="J61" s="12">
        <x:v>2.7081563296516569E-3</x:v>
      </x:c>
      <x:c r="K61" s="12">
        <x:v>1.0089209855564996E-3</x:v>
      </x:c>
      <x:c r="L61" s="12">
        <x:v>2.0620928915321439E-3</x:v>
      </x:c>
      <x:c r="M61" s="12">
        <x:v>1.0089209855564996E-3</x:v>
      </x:c>
      <x:c r="N61" s="12">
        <x:v>8.1421693571226287E-4</x:v>
      </x:c>
      <x:c r="O61" s="12">
        <x:v>1.3540781648258284E-3</x:v>
      </x:c>
      <x:c r="P61" s="12">
        <x:v>2.1505947323704334E-3</x:v>
      </x:c>
      <x:c r="Q61" s="12">
        <x:v>2.3364485981308409E-3</x:v>
      </x:c>
      <x:c r="R61" s="12">
        <x:v>1.0797224582271311E-3</x:v>
      </x:c>
      <x:c r="S61" t="n">
        <x:f>IF(A61="","",SUM(H61:R61))</x:f>
        <x:v>0.02432915604644577</x:v>
      </x:c>
      <x:c r="T61" t="str">
        <x:f>IF(A61="","",IF(AND(MIN(H61:R61)&gt;=0,MAX(H61:R61)&lt;=1,S61&lt;=1),"OK","CHECK"))</x:f>
        <x:v>OK</x:v>
      </x:c>
      <x:c r="U61" t="str">
        <x:f>IF(A61="","", "LOSS-"&amp;A61&amp;"-L"&amp;TEXT(B61,"00")&amp;"-"&amp;TEXT(C61,"yyyymmdd")&amp;"-"&amp;D61&amp;"-"&amp;E61)</x:f>
        <x:v>LOSS-KG01-L25-20251020-AM-ORD-2025-00161</x:v>
      </x:c>
      <x:c r="V61" t="str">
        <x:f>IF(U61="","",IF(COUNTIF($U$5:$U$120,U61)=1,"OK","CHECK"))</x:f>
        <x:v>OK</x:v>
      </x:c>
      <x:c r="W61" t="str">
        <x:f>IF(A61="","",IF(AND(T61="OK",V61="OK",G61&gt;=0),"OK","CHECK"))</x:f>
        <x:v>OK</x:v>
      </x:c>
    </x:row>
    <x:row r="62" ht="18" customHeight="1">
      <x:c r="A62" s="9" t="s">
        <x:v>31</x:v>
      </x:c>
      <x:c r="B62" s="10">
        <x:v>25</x:v>
      </x:c>
      <x:c r="C62" s="8">
        <x:v>45950</x:v>
      </x:c>
      <x:c r="D62" s="9" t="s">
        <x:v>35</x:v>
      </x:c>
      <x:c r="E62" s="9" t="s">
        <x:v>48</x:v>
      </x:c>
      <x:c r="F62" s="9" t="s">
        <x:v>34</x:v>
      </x:c>
      <x:c r="G62" s="11">
        <x:v>5916</x:v>
      </x:c>
      <x:c r="H62" s="12">
        <x:v>4.5477423065861371E-3</x:v>
      </x:c>
      <x:c r="I62" s="12">
        <x:v>1.1881650848432557E-2</x:v>
      </x:c>
      <x:c r="J62" s="12">
        <x:v>3.3793500143802129E-3</x:v>
      </x:c>
      <x:c r="K62" s="12">
        <x:v>3.8646821972965202E-3</x:v>
      </x:c>
      <x:c r="L62" s="12">
        <x:v>2.6154012079378777E-3</x:v>
      </x:c>
      <x:c r="M62" s="12">
        <x:v>2.9569312625826864E-3</x:v>
      </x:c>
      <x:c r="N62" s="12">
        <x:v>1.4470089157319528E-3</x:v>
      </x:c>
      <x:c r="O62" s="12">
        <x:v>2.7592033362093759E-3</x:v>
      </x:c>
      <x:c r="P62" s="12">
        <x:v>3.7029048029910841E-3</x:v>
      </x:c>
      <x:c r="Q62" s="12">
        <x:v>1.2438884095484614E-2</x:v>
      </x:c>
      <x:c r="R62" s="12">
        <x:v>3.5770779407535229E-3</x:v>
      </x:c>
      <x:c r="S62" t="n">
        <x:f>IF(A62="","",SUM(H62:R62))</x:f>
        <x:v>0.05317083692838654</x:v>
      </x:c>
      <x:c r="T62" t="str">
        <x:f>IF(A62="","",IF(AND(MIN(H62:R62)&gt;=0,MAX(H62:R62)&lt;=1,S62&lt;=1),"OK","CHECK"))</x:f>
        <x:v>OK</x:v>
      </x:c>
      <x:c r="U62" t="str">
        <x:f>IF(A62="","", "LOSS-"&amp;A62&amp;"-L"&amp;TEXT(B62,"00")&amp;"-"&amp;TEXT(C62,"yyyymmdd")&amp;"-"&amp;D62&amp;"-"&amp;E62)</x:f>
        <x:v>LOSS-KG01-L25-20251020-PM-ORD-2025-00161</x:v>
      </x:c>
      <x:c r="V62" t="str">
        <x:f>IF(U62="","",IF(COUNTIF($U$5:$U$120,U62)=1,"OK","CHECK"))</x:f>
        <x:v>OK</x:v>
      </x:c>
      <x:c r="W62" t="str">
        <x:f>IF(A62="","",IF(AND(T62="OK",V62="OK",G62&gt;=0),"OK","CHECK"))</x:f>
        <x:v>OK</x:v>
      </x:c>
    </x:row>
    <x:row r="63" ht="18" customHeight="1">
      <x:c r="A63" s="9" t="s">
        <x:v>31</x:v>
      </x:c>
      <x:c r="B63" s="10">
        <x:v>25</x:v>
      </x:c>
      <x:c r="C63" s="8">
        <x:v>45951</x:v>
      </x:c>
      <x:c r="D63" s="9" t="s">
        <x:v>32</x:v>
      </x:c>
      <x:c r="E63" s="9" t="s">
        <x:v>48</x:v>
      </x:c>
      <x:c r="F63" s="9" t="s">
        <x:v>34</x:v>
      </x:c>
      <x:c r="G63" s="11">
        <x:v>5268</x:v>
      </x:c>
      <x:c r="H63" s="12">
        <x:v>7.6672136271292391E-3</x:v>
      </x:c>
      <x:c r="I63" s="12">
        <x:v>8.2532426941709647E-3</x:v>
      </x:c>
      <x:c r="J63" s="12">
        <x:v>2.7152680106266604E-3</x:v>
      </x:c>
      <x:c r="K63" s="12">
        <x:v>4.7761368963900605E-3</x:v>
      </x:c>
      <x:c r="L63" s="12">
        <x:v>2.1194717924675728E-3</x:v>
      </x:c>
      <x:c r="M63" s="12">
        <x:v>1.8166901078293482E-3</x:v>
      </x:c>
      <x:c r="N63" s="12">
        <x:v>3.6333802156586965E-3</x:v>
      </x:c>
      <x:c r="O63" s="12">
        <x:v>1.4943741209563993E-3</x:v>
      </x:c>
      <x:c r="P63" s="12">
        <x:v>4.4928895139865607E-3</x:v>
      </x:c>
      <x:c r="Q63" s="12">
        <x:v>1.1115017971558056E-2</x:v>
      </x:c>
      <x:c r="R63" s="12">
        <x:v>3.3696671354899203E-3</x:v>
      </x:c>
      <x:c r="S63" t="n">
        <x:f>IF(A63="","",SUM(H63:R63))</x:f>
        <x:v>0.051453352086263476</x:v>
      </x:c>
      <x:c r="T63" t="str">
        <x:f>IF(A63="","",IF(AND(MIN(H63:R63)&gt;=0,MAX(H63:R63)&lt;=1,S63&lt;=1),"OK","CHECK"))</x:f>
        <x:v>OK</x:v>
      </x:c>
      <x:c r="U63" t="str">
        <x:f>IF(A63="","", "LOSS-"&amp;A63&amp;"-L"&amp;TEXT(B63,"00")&amp;"-"&amp;TEXT(C63,"yyyymmdd")&amp;"-"&amp;D63&amp;"-"&amp;E63)</x:f>
        <x:v>LOSS-KG01-L25-20251021-AM-ORD-2025-00161</x:v>
      </x:c>
      <x:c r="V63" t="str">
        <x:f>IF(U63="","",IF(COUNTIF($U$5:$U$120,U63)=1,"OK","CHECK"))</x:f>
        <x:v>OK</x:v>
      </x:c>
      <x:c r="W63" t="str">
        <x:f>IF(A63="","",IF(AND(T63="OK",V63="OK",G63&gt;=0),"OK","CHECK"))</x:f>
        <x:v>OK</x:v>
      </x:c>
    </x:row>
    <x:row r="64" ht="18" customHeight="1">
      <x:c r="A64" s="9" t="s">
        <x:v>31</x:v>
      </x:c>
      <x:c r="B64" s="10">
        <x:v>25</x:v>
      </x:c>
      <x:c r="C64" s="8">
        <x:v>45951</x:v>
      </x:c>
      <x:c r="D64" s="9" t="s">
        <x:v>35</x:v>
      </x:c>
      <x:c r="E64" s="9" t="s">
        <x:v>48</x:v>
      </x:c>
      <x:c r="F64" s="9" t="s">
        <x:v>34</x:v>
      </x:c>
      <x:c r="G64" s="11">
        <x:v>5792</x:v>
      </x:c>
      <x:c r="H64" s="12">
        <x:v>8.3121272561137369E-3</x:v>
      </x:c>
      <x:c r="I64" s="12">
        <x:v>8.2335255799329925E-3</x:v>
      </x:c>
      <x:c r="J64" s="12">
        <x:v>6.6123660087051353E-3</x:v>
      </x:c>
      <x:c r="K64" s="12">
        <x:v>5.6789711040587942E-3</x:v>
      </x:c>
      <x:c r="L64" s="12">
        <x:v>2.4366519616030812E-3</x:v>
      </x:c>
      <x:c r="M64" s="12">
        <x:v>1.8569645997700902E-3</x:v>
      </x:c>
      <x:c r="N64" s="12">
        <x:v>1.1888503522337614E-3</x:v>
      </x:c>
      <x:c r="O64" s="12">
        <x:v>2.0436435806993583E-3</x:v>
      </x:c>
      <x:c r="P64" s="12">
        <x:v>3.2914451900686783E-3</x:v>
      </x:c>
      <x:c r="Q64" s="12">
        <x:v>1.0915807779600901E-2</x:v>
      </x:c>
      <x:c r="R64" s="12">
        <x:v>6.3372601420725299E-3</x:v>
      </x:c>
      <x:c r="S64" t="n">
        <x:f>IF(A64="","",SUM(H64:R64))</x:f>
        <x:v>0.05690761355485907</x:v>
      </x:c>
      <x:c r="T64" t="str">
        <x:f>IF(A64="","",IF(AND(MIN(H64:R64)&gt;=0,MAX(H64:R64)&lt;=1,S64&lt;=1),"OK","CHECK"))</x:f>
        <x:v>OK</x:v>
      </x:c>
      <x:c r="U64" t="str">
        <x:f>IF(A64="","", "LOSS-"&amp;A64&amp;"-L"&amp;TEXT(B64,"00")&amp;"-"&amp;TEXT(C64,"yyyymmdd")&amp;"-"&amp;D64&amp;"-"&amp;E64)</x:f>
        <x:v>LOSS-KG01-L25-20251021-PM-ORD-2025-00161</x:v>
      </x:c>
      <x:c r="V64" t="str">
        <x:f>IF(U64="","",IF(COUNTIF($U$5:$U$120,U64)=1,"OK","CHECK"))</x:f>
        <x:v>OK</x:v>
      </x:c>
      <x:c r="W64" t="str">
        <x:f>IF(A64="","",IF(AND(T64="OK",V64="OK",G64&gt;=0),"OK","CHECK"))</x:f>
        <x:v>OK</x:v>
      </x:c>
    </x:row>
    <x:row r="65" ht="18" customHeight="1">
      <x:c r="A65" s="9" t="s">
        <x:v>31</x:v>
      </x:c>
      <x:c r="B65" s="10">
        <x:v>25</x:v>
      </x:c>
      <x:c r="C65" s="8">
        <x:v>45952</x:v>
      </x:c>
      <x:c r="D65" s="9" t="s">
        <x:v>32</x:v>
      </x:c>
      <x:c r="E65" s="9" t="s">
        <x:v>48</x:v>
      </x:c>
      <x:c r="F65" s="9" t="s">
        <x:v>34</x:v>
      </x:c>
      <x:c r="G65" s="11">
        <x:v>4270</x:v>
      </x:c>
      <x:c r="H65" s="12">
        <x:v>6.0491798320344396E-3</x:v>
      </x:c>
      <x:c r="I65" s="12">
        <x:v>9.4770484035206232E-3</x:v>
      </x:c>
      <x:c r="J65" s="12">
        <x:v>3.5690161009003197E-3</x:v>
      </x:c>
      <x:c r="K65" s="12">
        <x:v>2.2079506386925708E-3</x:v>
      </x:c>
      <x:c r="L65" s="12">
        <x:v>6.8154092774254695E-3</x:v>
      </x:c>
      <x:c r="M65" s="12">
        <x:v>3.2161472773649773E-3</x:v>
      </x:c>
      <x:c r="N65" s="12">
        <x:v>2.2583604706261909E-3</x:v>
      </x:c>
      <x:c r="O65" s="12">
        <x:v>1.7139342857430914E-3</x:v>
      </x:c>
      <x:c r="P65" s="12">
        <x:v>3.8412291933418692E-3</x:v>
      </x:c>
      <x:c r="Q65" s="12">
        <x:v>2.7725407563491183E-3</x:v>
      </x:c>
      <x:c r="R65" s="12">
        <x:v>1.1291802353130954E-3</x:v>
      </x:c>
      <x:c r="S65" t="n">
        <x:f>IF(A65="","",SUM(H65:R65))</x:f>
        <x:v>0.04304999647131177</x:v>
      </x:c>
      <x:c r="T65" t="str">
        <x:f>IF(A65="","",IF(AND(MIN(H65:R65)&gt;=0,MAX(H65:R65)&lt;=1,S65&lt;=1),"OK","CHECK"))</x:f>
        <x:v>OK</x:v>
      </x:c>
      <x:c r="U65" t="str">
        <x:f>IF(A65="","", "LOSS-"&amp;A65&amp;"-L"&amp;TEXT(B65,"00")&amp;"-"&amp;TEXT(C65,"yyyymmdd")&amp;"-"&amp;D65&amp;"-"&amp;E65)</x:f>
        <x:v>LOSS-KG01-L25-20251022-AM-ORD-2025-00161</x:v>
      </x:c>
      <x:c r="V65" t="str">
        <x:f>IF(U65="","",IF(COUNTIF($U$5:$U$120,U65)=1,"OK","CHECK"))</x:f>
        <x:v>OK</x:v>
      </x:c>
      <x:c r="W65" t="str">
        <x:f>IF(A65="","",IF(AND(T65="OK",V65="OK",G65&gt;=0),"OK","CHECK"))</x:f>
        <x:v>OK</x:v>
      </x:c>
    </x:row>
    <x:row r="66" ht="18" customHeight="1">
      <x:c r="A66" s="9" t="s">
        <x:v>31</x:v>
      </x:c>
      <x:c r="B66" s="10">
        <x:v>25</x:v>
      </x:c>
      <x:c r="C66" s="8">
        <x:v>45952</x:v>
      </x:c>
      <x:c r="D66" s="9" t="s">
        <x:v>35</x:v>
      </x:c>
      <x:c r="E66" s="9" t="s">
        <x:v>48</x:v>
      </x:c>
      <x:c r="F66" s="9" t="s">
        <x:v>34</x:v>
      </x:c>
      <x:c r="G66" s="11">
        <x:v>6183</x:v>
      </x:c>
      <x:c r="H66" s="12">
        <x:v>9.5043854801924992E-3</x:v>
      </x:c>
      <x:c r="I66" s="12">
        <x:v>1.5683240734228849E-2</x:v>
      </x:c>
      <x:c r="J66" s="12">
        <x:v>6.751529643434841E-3</x:v>
      </x:c>
      <x:c r="K66" s="12">
        <x:v>3.3456240643806577E-3</x:v>
      </x:c>
      <x:c r="L66" s="12">
        <x:v>4.4105974902796056E-3</x:v>
      </x:c>
      <x:c r="M66" s="12">
        <x:v>7.1333125697005016E-4</x:v>
      </x:c>
      <x:c r="N66" s="12">
        <x:v>2.3811198296042517E-3</x:v>
      </x:c>
      <x:c r="O66" s="12">
        <x:v>2.5318236162880652E-3</x:v>
      </x:c>
      <x:c r="P66" s="12">
        <x:v>1.3864748374910834E-3</x:v>
      </x:c>
      <x:c r="Q66" s="12">
        <x:v>9.9564968402439391E-3</x:v>
      </x:c>
      <x:c r="R66" s="12">
        <x:v>5.4554770779540454E-3</x:v>
      </x:c>
      <x:c r="S66" t="n">
        <x:f>IF(A66="","",SUM(H66:R66))</x:f>
        <x:v>0.06212010087106788</x:v>
      </x:c>
      <x:c r="T66" t="str">
        <x:f>IF(A66="","",IF(AND(MIN(H66:R66)&gt;=0,MAX(H66:R66)&lt;=1,S66&lt;=1),"OK","CHECK"))</x:f>
        <x:v>OK</x:v>
      </x:c>
      <x:c r="U66" t="str">
        <x:f>IF(A66="","", "LOSS-"&amp;A66&amp;"-L"&amp;TEXT(B66,"00")&amp;"-"&amp;TEXT(C66,"yyyymmdd")&amp;"-"&amp;D66&amp;"-"&amp;E66)</x:f>
        <x:v>LOSS-KG01-L25-20251022-PM-ORD-2025-00161</x:v>
      </x:c>
      <x:c r="V66" t="str">
        <x:f>IF(U66="","",IF(COUNTIF($U$5:$U$120,U66)=1,"OK","CHECK"))</x:f>
        <x:v>OK</x:v>
      </x:c>
      <x:c r="W66" t="str">
        <x:f>IF(A66="","",IF(AND(T66="OK",V66="OK",G66&gt;=0),"OK","CHECK"))</x:f>
        <x:v>OK</x:v>
      </x:c>
    </x:row>
    <x:row r="67" ht="18" customHeight="1">
      <x:c r="A67" s="9" t="s">
        <x:v>31</x:v>
      </x:c>
      <x:c r="B67" s="10">
        <x:v>25</x:v>
      </x:c>
      <x:c r="C67" s="8">
        <x:v>45953</x:v>
      </x:c>
      <x:c r="D67" s="9" t="s">
        <x:v>32</x:v>
      </x:c>
      <x:c r="E67" s="9" t="s">
        <x:v>49</x:v>
      </x:c>
      <x:c r="F67" s="9" t="s">
        <x:v>34</x:v>
      </x:c>
      <x:c r="G67" s="11">
        <x:v>6613</x:v>
      </x:c>
      <x:c r="H67" s="12">
        <x:v>8.455577190110853E-3</x:v>
      </x:c>
      <x:c r="I67" s="12">
        <x:v>1.1643872809501276E-2</x:v>
      </x:c>
      <x:c r="J67" s="12">
        <x:v>1.6368135661590734E-3</x:v>
      </x:c>
      <x:c r="K67" s="12">
        <x:v>1.4273634889728412E-3</x:v>
      </x:c>
      <x:c r="L67" s="12">
        <x:v>5.5155186992374462E-3</x:v>
      </x:c>
      <x:c r="M67" s="12">
        <x:v>2.6375194904932936E-3</x:v>
      </x:c>
      <x:c r="N67" s="12">
        <x:v>2.7538806444856448E-3</x:v>
      </x:c>
      <x:c r="O67" s="12">
        <x:v>5.0423166730018847E-4</x:v>
      </x:c>
      <x:c r="P67" s="12">
        <x:v>6.9816692395410712E-3</x:v>
      </x:c>
      <x:c r="Q67" s="12">
        <x:v>3.7235569277552383E-3</x:v>
      </x:c>
      <x:c r="R67" s="12">
        <x:v>6.0197503665376352E-3</x:v>
      </x:c>
      <x:c r="S67" t="n">
        <x:f>IF(A67="","",SUM(H67:R67))</x:f>
        <x:v>0.05129975409009456</x:v>
      </x:c>
      <x:c r="T67" t="str">
        <x:f>IF(A67="","",IF(AND(MIN(H67:R67)&gt;=0,MAX(H67:R67)&lt;=1,S67&lt;=1),"OK","CHECK"))</x:f>
        <x:v>OK</x:v>
      </x:c>
      <x:c r="U67" t="str">
        <x:f>IF(A67="","", "LOSS-"&amp;A67&amp;"-L"&amp;TEXT(B67,"00")&amp;"-"&amp;TEXT(C67,"yyyymmdd")&amp;"-"&amp;D67&amp;"-"&amp;E67)</x:f>
        <x:v>LOSS-KG01-L25-20251023-AM-ORD-2025-00162</x:v>
      </x:c>
      <x:c r="V67" t="str">
        <x:f>IF(U67="","",IF(COUNTIF($U$5:$U$120,U67)=1,"OK","CHECK"))</x:f>
        <x:v>OK</x:v>
      </x:c>
      <x:c r="W67" t="str">
        <x:f>IF(A67="","",IF(AND(T67="OK",V67="OK",G67&gt;=0),"OK","CHECK"))</x:f>
        <x:v>OK</x:v>
      </x:c>
    </x:row>
    <x:row r="68" ht="18" customHeight="1">
      <x:c r="A68" s="9" t="s">
        <x:v>31</x:v>
      </x:c>
      <x:c r="B68" s="10">
        <x:v>25</x:v>
      </x:c>
      <x:c r="C68" s="8">
        <x:v>45953</x:v>
      </x:c>
      <x:c r="D68" s="9" t="s">
        <x:v>35</x:v>
      </x:c>
      <x:c r="E68" s="9" t="s">
        <x:v>49</x:v>
      </x:c>
      <x:c r="F68" s="9" t="s">
        <x:v>34</x:v>
      </x:c>
      <x:c r="G68" s="11">
        <x:v>12718</x:v>
      </x:c>
      <x:c r="H68" s="12">
        <x:v>6.4972021737926032E-3</x:v>
      </x:c>
      <x:c r="I68" s="12">
        <x:v>1.0380413705570973E-2</x:v>
      </x:c>
      <x:c r="J68" s="12">
        <x:v>3.2334913143991094E-3</x:v>
      </x:c>
      <x:c r="K68" s="12">
        <x:v>4.9006028799226378E-3</x:v>
      </x:c>
      <x:c r="L68" s="12">
        <x:v>6.6936292162561003E-3</x:v>
      </x:c>
      <x:c r="M68" s="12">
        <x:v>5.1423592398777114E-3</x:v>
      </x:c>
      <x:c r="N68" s="12">
        <x:v>5.5402499156371032E-3</x:v>
      </x:c>
      <x:c r="O68" s="12">
        <x:v>7.6354717019144081E-3</x:v>
      </x:c>
      <x:c r="P68" s="12">
        <x:v>5.797116048089369E-3</x:v>
      </x:c>
      <x:c r="Q68" s="12">
        <x:v>3.2838572227230833E-3</x:v>
      </x:c>
      <x:c r="R68" s="12">
        <x:v>4.9509687882466112E-3</x:v>
      </x:c>
      <x:c r="S68" t="n">
        <x:f>IF(A68="","",SUM(H68:R68))</x:f>
        <x:v>0.06405536220642971</x:v>
      </x:c>
      <x:c r="T68" t="str">
        <x:f>IF(A68="","",IF(AND(MIN(H68:R68)&gt;=0,MAX(H68:R68)&lt;=1,S68&lt;=1),"OK","CHECK"))</x:f>
        <x:v>OK</x:v>
      </x:c>
      <x:c r="U68" t="str">
        <x:f>IF(A68="","", "LOSS-"&amp;A68&amp;"-L"&amp;TEXT(B68,"00")&amp;"-"&amp;TEXT(C68,"yyyymmdd")&amp;"-"&amp;D68&amp;"-"&amp;E68)</x:f>
        <x:v>LOSS-KG01-L25-20251023-PM-ORD-2025-00162</x:v>
      </x:c>
      <x:c r="V68" t="str">
        <x:f>IF(U68="","",IF(COUNTIF($U$5:$U$120,U68)=1,"OK","CHECK"))</x:f>
        <x:v>OK</x:v>
      </x:c>
      <x:c r="W68" t="str">
        <x:f>IF(A68="","",IF(AND(T68="OK",V68="OK",G68&gt;=0),"OK","CHECK"))</x:f>
        <x:v>OK</x:v>
      </x:c>
    </x:row>
    <x:row r="69" ht="18" customHeight="1">
      <x:c r="A69" s="9" t="s">
        <x:v>31</x:v>
      </x:c>
      <x:c r="B69" s="10">
        <x:v>25</x:v>
      </x:c>
      <x:c r="C69" s="8">
        <x:v>45954</x:v>
      </x:c>
      <x:c r="D69" s="9" t="s">
        <x:v>32</x:v>
      </x:c>
      <x:c r="E69" s="9" t="s">
        <x:v>49</x:v>
      </x:c>
      <x:c r="F69" s="9" t="s">
        <x:v>34</x:v>
      </x:c>
      <x:c r="G69" s="11">
        <x:v>10139</x:v>
      </x:c>
      <x:c r="H69" s="12">
        <x:v>5.3414685781596905E-3</x:v>
      </x:c>
      <x:c r="I69" s="12">
        <x:v>1.3511092775446615E-2</x:v>
      </x:c>
      <x:c r="J69" s="12">
        <x:v>5.1731906046607566E-3</x:v>
      </x:c>
      <x:c r="K69" s="12">
        <x:v>3.5121241565745118E-3</x:v>
      </x:c>
      <x:c r="L69" s="12">
        <x:v>4.5163636758423402E-3</x:v>
      </x:c>
      <x:c r="M69" s="12">
        <x:v>3.3655594699786668E-3</x:v>
      </x:c>
      <x:c r="N69" s="12">
        <x:v>2.9367220536426755E-3</x:v>
      </x:c>
      <x:c r="O69" s="12">
        <x:v>2.3124650551788902E-3</x:v>
      </x:c>
      <x:c r="P69" s="12">
        <x:v>3.6478321997188128E-3</x:v>
      </x:c>
      <x:c r="Q69" s="12">
        <x:v>7.442229086033471E-3</x:v>
      </x:c>
      <x:c r="R69" s="12">
        <x:v>3.2787063223663139E-3</x:v>
      </x:c>
      <x:c r="S69" t="n">
        <x:f>IF(A69="","",SUM(H69:R69))</x:f>
        <x:v>0.05503775397760275</x:v>
      </x:c>
      <x:c r="T69" t="str">
        <x:f>IF(A69="","",IF(AND(MIN(H69:R69)&gt;=0,MAX(H69:R69)&lt;=1,S69&lt;=1),"OK","CHECK"))</x:f>
        <x:v>OK</x:v>
      </x:c>
      <x:c r="U69" t="str">
        <x:f>IF(A69="","", "LOSS-"&amp;A69&amp;"-L"&amp;TEXT(B69,"00")&amp;"-"&amp;TEXT(C69,"yyyymmdd")&amp;"-"&amp;D69&amp;"-"&amp;E69)</x:f>
        <x:v>LOSS-KG01-L25-20251024-AM-ORD-2025-00162</x:v>
      </x:c>
      <x:c r="V69" t="str">
        <x:f>IF(U69="","",IF(COUNTIF($U$5:$U$120,U69)=1,"OK","CHECK"))</x:f>
        <x:v>OK</x:v>
      </x:c>
      <x:c r="W69" t="str">
        <x:f>IF(A69="","",IF(AND(T69="OK",V69="OK",G69&gt;=0),"OK","CHECK"))</x:f>
        <x:v>OK</x:v>
      </x:c>
    </x:row>
    <x:row r="70" ht="18" customHeight="1">
      <x:c r="A70" s="9" t="s">
        <x:v>31</x:v>
      </x:c>
      <x:c r="B70" s="10">
        <x:v>25</x:v>
      </x:c>
      <x:c r="C70" s="8">
        <x:v>45954</x:v>
      </x:c>
      <x:c r="D70" s="9" t="s">
        <x:v>35</x:v>
      </x:c>
      <x:c r="E70" s="9" t="s">
        <x:v>49</x:v>
      </x:c>
      <x:c r="F70" s="9" t="s">
        <x:v>34</x:v>
      </x:c>
      <x:c r="G70" s="11">
        <x:v>11342</x:v>
      </x:c>
      <x:c r="H70" s="12">
        <x:v>9.3089887028422642E-3</x:v>
      </x:c>
      <x:c r="I70" s="12">
        <x:v>1.1177322889544955E-2</x:v>
      </x:c>
      <x:c r="J70" s="12">
        <x:v>1.3726536881897313E-2</x:v>
      </x:c>
      <x:c r="K70" s="12">
        <x:v>1.0349373045874957E-3</x:v>
      </x:c>
      <x:c r="L70" s="12">
        <x:v>5.485167714313728E-3</x:v>
      </x:c>
      <x:c r="M70" s="12">
        <x:v>1.6286644951140066E-3</x:v>
      </x:c>
      <x:c r="N70" s="12">
        <x:v>1.3998888804157179E-3</x:v>
      </x:c>
      <x:c r="O70" s="12">
        <x:v>1.7484993409083481E-3</x:v>
      </x:c>
      <x:c r="P70" s="12">
        <x:v>2.8106718377218305E-3</x:v>
      </x:c>
      <x:c r="Q70" s="12">
        <x:v>7.7838179381870074E-3</x:v>
      </x:c>
      <x:c r="R70" s="12">
        <x:v>5.6758140598956348E-3</x:v>
      </x:c>
      <x:c r="S70" t="n">
        <x:f>IF(A70="","",SUM(H70:R70))</x:f>
        <x:v>0.061780310045428305</x:v>
      </x:c>
      <x:c r="T70" t="str">
        <x:f>IF(A70="","",IF(AND(MIN(H70:R70)&gt;=0,MAX(H70:R70)&lt;=1,S70&lt;=1),"OK","CHECK"))</x:f>
        <x:v>OK</x:v>
      </x:c>
      <x:c r="U70" t="str">
        <x:f>IF(A70="","", "LOSS-"&amp;A70&amp;"-L"&amp;TEXT(B70,"00")&amp;"-"&amp;TEXT(C70,"yyyymmdd")&amp;"-"&amp;D70&amp;"-"&amp;E70)</x:f>
        <x:v>LOSS-KG01-L25-20251024-PM-ORD-2025-00162</x:v>
      </x:c>
      <x:c r="V70" t="str">
        <x:f>IF(U70="","",IF(COUNTIF($U$5:$U$120,U70)=1,"OK","CHECK"))</x:f>
        <x:v>OK</x:v>
      </x:c>
      <x:c r="W70" t="str">
        <x:f>IF(A70="","",IF(AND(T70="OK",V70="OK",G70&gt;=0),"OK","CHECK"))</x:f>
        <x:v>OK</x:v>
      </x:c>
    </x:row>
    <x:row r="71" ht="18" customHeight="1">
      <x:c r="A71" s="9" t="s">
        <x:v>31</x:v>
      </x:c>
      <x:c r="B71" s="10">
        <x:v>25</x:v>
      </x:c>
      <x:c r="C71" s="8">
        <x:v>45955</x:v>
      </x:c>
      <x:c r="D71" s="9" t="s">
        <x:v>32</x:v>
      </x:c>
      <x:c r="E71" s="9" t="s">
        <x:v>49</x:v>
      </x:c>
      <x:c r="F71" s="9" t="s">
        <x:v>34</x:v>
      </x:c>
      <x:c r="G71" s="11">
        <x:v>9330</x:v>
      </x:c>
      <x:c r="H71" s="12">
        <x:v>1.0208212523386983E-2</x:v>
      </x:c>
      <x:c r="I71" s="12">
        <x:v>1.4086895631147631E-2</x:v>
      </x:c>
      <x:c r="J71" s="12">
        <x:v>1.2308937930128998E-3</x:v>
      </x:c>
      <x:c r="K71" s="12">
        <x:v>1.3403065746140463E-3</x:v>
      </x:c>
      <x:c r="L71" s="12">
        <x:v>7.2321848638357937E-3</x:v>
      </x:c>
      <x:c r="M71" s="12">
        <x:v>2.0460190159414422E-3</x:v>
      </x:c>
      <x:c r="N71" s="12">
        <x:v>2.9377331859907875E-3</x:v>
      </x:c>
      <x:c r="O71" s="12">
        <x:v>1.3348359355339892E-3</x:v>
      </x:c>
      <x:c r="P71" s="12">
        <x:v>5.9082902064619186E-4</x:v>
      </x:c>
      <x:c r="Q71" s="12">
        <x:v>6.7234154293904615E-3</x:v>
      </x:c>
      <x:c r="R71" s="12">
        <x:v>3.3097366434346859E-3</x:v>
      </x:c>
      <x:c r="S71" t="n">
        <x:f>IF(A71="","",SUM(H71:R71))</x:f>
        <x:v>0.05104106261693492</x:v>
      </x:c>
      <x:c r="T71" t="str">
        <x:f>IF(A71="","",IF(AND(MIN(H71:R71)&gt;=0,MAX(H71:R71)&lt;=1,S71&lt;=1),"OK","CHECK"))</x:f>
        <x:v>OK</x:v>
      </x:c>
      <x:c r="U71" t="str">
        <x:f>IF(A71="","", "LOSS-"&amp;A71&amp;"-L"&amp;TEXT(B71,"00")&amp;"-"&amp;TEXT(C71,"yyyymmdd")&amp;"-"&amp;D71&amp;"-"&amp;E71)</x:f>
        <x:v>LOSS-KG01-L25-20251025-AM-ORD-2025-00162</x:v>
      </x:c>
      <x:c r="V71" t="str">
        <x:f>IF(U71="","",IF(COUNTIF($U$5:$U$120,U71)=1,"OK","CHECK"))</x:f>
        <x:v>OK</x:v>
      </x:c>
      <x:c r="W71" t="str">
        <x:f>IF(A71="","",IF(AND(T71="OK",V71="OK",G71&gt;=0),"OK","CHECK"))</x:f>
        <x:v>OK</x:v>
      </x:c>
    </x:row>
    <x:row r="72" ht="18" customHeight="1">
      <x:c r="A72" s="9" t="s">
        <x:v>31</x:v>
      </x:c>
      <x:c r="B72" s="10">
        <x:v>25</x:v>
      </x:c>
      <x:c r="C72" s="8">
        <x:v>45955</x:v>
      </x:c>
      <x:c r="D72" s="9" t="s">
        <x:v>35</x:v>
      </x:c>
      <x:c r="E72" s="9" t="s">
        <x:v>49</x:v>
      </x:c>
      <x:c r="F72" s="9" t="s">
        <x:v>34</x:v>
      </x:c>
      <x:c r="G72" s="11">
        <x:v>6003</x:v>
      </x:c>
      <x:c r="H72" s="12">
        <x:v>3.9123013014692098E-3</x:v>
      </x:c>
      <x:c r="I72" s="12">
        <x:v>5.2098236750964507E-3</x:v>
      </x:c>
      <x:c r="J72" s="12">
        <x:v>3.4633486931038905E-3</x:v>
      </x:c>
      <x:c r="K72" s="12">
        <x:v>1.5441996309708231E-3</x:v>
      </x:c>
      <x:c r="L72" s="12">
        <x:v>3.2413391614946668E-3</x:v>
      </x:c>
      <x:c r="M72" s="12">
        <x:v>2.9354593623886253E-3</x:v>
      </x:c>
      <x:c r="N72" s="12">
        <x:v>7.8443367835259064E-4</x:v>
      </x:c>
      <x:c r="O72" s="12">
        <x:v>2.308899128735927E-3</x:v>
      </x:c>
      <x:c r="P72" s="12">
        <x:v>6.8082923026828619E-4</x:v>
      </x:c>
      <x:c r="Q72" s="12">
        <x:v>3.6113550475100399E-3</x:v>
      </x:c>
      <x:c r="R72" s="12">
        <x:v>1.9240826072799391E-3</x:v>
      </x:c>
      <x:c r="S72" t="n">
        <x:f>IF(A72="","",SUM(H72:R72))</x:f>
        <x:v>0.029616071516670447</x:v>
      </x:c>
      <x:c r="T72" t="str">
        <x:f>IF(A72="","",IF(AND(MIN(H72:R72)&gt;=0,MAX(H72:R72)&lt;=1,S72&lt;=1),"OK","CHECK"))</x:f>
        <x:v>OK</x:v>
      </x:c>
      <x:c r="U72" t="str">
        <x:f>IF(A72="","", "LOSS-"&amp;A72&amp;"-L"&amp;TEXT(B72,"00")&amp;"-"&amp;TEXT(C72,"yyyymmdd")&amp;"-"&amp;D72&amp;"-"&amp;E72)</x:f>
        <x:v>LOSS-KG01-L25-20251025-PM-ORD-2025-00162</x:v>
      </x:c>
      <x:c r="V72" t="str">
        <x:f>IF(U72="","",IF(COUNTIF($U$5:$U$120,U72)=1,"OK","CHECK"))</x:f>
        <x:v>OK</x:v>
      </x:c>
      <x:c r="W72" t="str">
        <x:f>IF(A72="","",IF(AND(T72="OK",V72="OK",G72&gt;=0),"OK","CHECK"))</x:f>
        <x:v>OK</x:v>
      </x:c>
    </x:row>
    <x:row r="73" ht="18" customHeight="1">
      <x:c r="A73" s="9" t="s">
        <x:v>31</x:v>
      </x:c>
      <x:c r="B73" s="10">
        <x:v>25</x:v>
      </x:c>
      <x:c r="C73" s="8">
        <x:v>45956</x:v>
      </x:c>
      <x:c r="D73" s="9" t="s">
        <x:v>32</x:v>
      </x:c>
      <x:c r="E73" s="9" t="s">
        <x:v>49</x:v>
      </x:c>
      <x:c r="F73" s="9" t="s">
        <x:v>34</x:v>
      </x:c>
      <x:c r="G73" s="11">
        <x:v>13046</x:v>
      </x:c>
      <x:c r="H73" s="12">
        <x:v>6.8618572295811231E-3</x:v>
      </x:c>
      <x:c r="I73" s="12">
        <x:v>1.566931719793398E-2</x:v>
      </x:c>
      <x:c r="J73" s="12">
        <x:v>3.1149547684682982E-3</x:v>
      </x:c>
      <x:c r="K73" s="12">
        <x:v>4.4932973736851014E-3</x:v>
      </x:c>
      <x:c r="L73" s="12">
        <x:v>5.9512554362429462E-3</x:v>
      </x:c>
      <x:c r="M73" s="12">
        <x:v>5.6726013355492969E-3</x:v>
      </x:c>
      <x:c r="N73" s="12">
        <x:v>3.1000268702168527E-3</x:v>
      </x:c>
      <x:c r="O73" s="12">
        <x:v>3.6274792751012611E-3</x:v>
      </x:c>
      <x:c r="P73" s="12">
        <x:v>5.4735626921966895E-4</x:v>
      </x:c>
      <x:c r="Q73" s="12">
        <x:v>1.1832847347312481E-2</x:v>
      </x:c>
      <x:c r="R73" s="12">
        <x:v>4.0454604261417355E-3</x:v>
      </x:c>
      <x:c r="S73" t="n">
        <x:f>IF(A73="","",SUM(H73:R73))</x:f>
        <x:v>0.06491645352945274</x:v>
      </x:c>
      <x:c r="T73" t="str">
        <x:f>IF(A73="","",IF(AND(MIN(H73:R73)&gt;=0,MAX(H73:R73)&lt;=1,S73&lt;=1),"OK","CHECK"))</x:f>
        <x:v>OK</x:v>
      </x:c>
      <x:c r="U73" t="str">
        <x:f>IF(A73="","", "LOSS-"&amp;A73&amp;"-L"&amp;TEXT(B73,"00")&amp;"-"&amp;TEXT(C73,"yyyymmdd")&amp;"-"&amp;D73&amp;"-"&amp;E73)</x:f>
        <x:v>LOSS-KG01-L25-20251026-AM-ORD-2025-00162</x:v>
      </x:c>
      <x:c r="V73" t="str">
        <x:f>IF(U73="","",IF(COUNTIF($U$5:$U$120,U73)=1,"OK","CHECK"))</x:f>
        <x:v>OK</x:v>
      </x:c>
      <x:c r="W73" t="str">
        <x:f>IF(A73="","",IF(AND(T73="OK",V73="OK",G73&gt;=0),"OK","CHECK"))</x:f>
        <x:v>OK</x:v>
      </x:c>
    </x:row>
    <x:row r="74" ht="18" customHeight="1">
      <x:c r="A74" s="9" t="s">
        <x:v>31</x:v>
      </x:c>
      <x:c r="B74" s="10">
        <x:v>25</x:v>
      </x:c>
      <x:c r="C74" s="8">
        <x:v>45956</x:v>
      </x:c>
      <x:c r="D74" s="9" t="s">
        <x:v>35</x:v>
      </x:c>
      <x:c r="E74" s="9" t="s">
        <x:v>49</x:v>
      </x:c>
      <x:c r="F74" s="9" t="s">
        <x:v>34</x:v>
      </x:c>
      <x:c r="G74" s="11">
        <x:v>8299</x:v>
      </x:c>
      <x:c r="H74" s="12">
        <x:v>6.4690635721276393E-3</x:v>
      </x:c>
      <x:c r="I74" s="12">
        <x:v>7.2541702068164467E-3</x:v>
      </x:c>
      <x:c r="J74" s="12">
        <x:v>5.5548983125584799E-3</x:v>
      </x:c>
      <x:c r="K74" s="12">
        <x:v>2.3176778051429863E-3</x:v>
      </x:c>
      <x:c r="L74" s="12">
        <x:v>4.6945074800228007E-3</x:v>
      </x:c>
      <x:c r="M74" s="12">
        <x:v>5.8829223174627077E-3</x:v>
      </x:c>
      <x:c r="N74" s="12">
        <x:v>2.6026822684204298E-3</x:v>
      </x:c>
      <x:c r="O74" s="12">
        <x:v>2.0111635710521503E-3</x:v>
      </x:c>
      <x:c r="P74" s="12">
        <x:v>1.7745560921048386E-3</x:v>
      </x:c>
      <x:c r="Q74" s="12">
        <x:v>4.0384594702143452E-3</x:v>
      </x:c>
      <x:c r="R74" s="12">
        <x:v>2.0272958991621945E-3</x:v>
      </x:c>
      <x:c r="S74" t="n">
        <x:f>IF(A74="","",SUM(H74:R74))</x:f>
        <x:v>0.04462739699508503</x:v>
      </x:c>
      <x:c r="T74" t="str">
        <x:f>IF(A74="","",IF(AND(MIN(H74:R74)&gt;=0,MAX(H74:R74)&lt;=1,S74&lt;=1),"OK","CHECK"))</x:f>
        <x:v>OK</x:v>
      </x:c>
      <x:c r="U74" t="str">
        <x:f>IF(A74="","", "LOSS-"&amp;A74&amp;"-L"&amp;TEXT(B74,"00")&amp;"-"&amp;TEXT(C74,"yyyymmdd")&amp;"-"&amp;D74&amp;"-"&amp;E74)</x:f>
        <x:v>LOSS-KG01-L25-20251026-PM-ORD-2025-00162</x:v>
      </x:c>
      <x:c r="V74" t="str">
        <x:f>IF(U74="","",IF(COUNTIF($U$5:$U$120,U74)=1,"OK","CHECK"))</x:f>
        <x:v>OK</x:v>
      </x:c>
      <x:c r="W74" t="str">
        <x:f>IF(A74="","",IF(AND(T74="OK",V74="OK",G74&gt;=0),"OK","CHECK"))</x:f>
        <x:v>OK</x:v>
      </x:c>
    </x:row>
    <x:row r="75" ht="18" customHeight="1">
      <x:c r="S75" t="str">
        <x:f>IF(A75="","",SUM(H75:R75))</x:f>
      </x:c>
      <x:c r="T75" t="str">
        <x:f>IF(A75="","",IF(AND(MIN(H75:R75)&gt;=0,MAX(H75:R75)&lt;=1,S75&lt;=1),"OK","CHECK"))</x:f>
      </x:c>
      <x:c r="U75" t="str">
        <x:f>IF(A75="","", "LOSS-"&amp;A75&amp;"-L"&amp;TEXT(B75,"00")&amp;"-"&amp;TEXT(C75,"yyyymmdd")&amp;"-"&amp;D75&amp;"-"&amp;E75)</x:f>
      </x:c>
      <x:c r="V75" t="str">
        <x:f>IF(U75="","",IF(COUNTIF($U$5:$U$120,U75)=1,"OK","CHECK"))</x:f>
      </x:c>
      <x:c r="W75" t="str">
        <x:f>IF(A75="","",IF(AND(T75="OK",V75="OK",G75&gt;=0),"OK","CHECK"))</x:f>
      </x:c>
    </x:row>
    <x:row r="76" ht="18" customHeight="1">
      <x:c r="S76" t="str">
        <x:f>IF(A76="","",SUM(H76:R76))</x:f>
      </x:c>
      <x:c r="T76" t="str">
        <x:f>IF(A76="","",IF(AND(MIN(H76:R76)&gt;=0,MAX(H76:R76)&lt;=1,S76&lt;=1),"OK","CHECK"))</x:f>
      </x:c>
      <x:c r="U76" t="str">
        <x:f>IF(A76="","", "LOSS-"&amp;A76&amp;"-L"&amp;TEXT(B76,"00")&amp;"-"&amp;TEXT(C76,"yyyymmdd")&amp;"-"&amp;D76&amp;"-"&amp;E76)</x:f>
      </x:c>
      <x:c r="V76" t="str">
        <x:f>IF(U76="","",IF(COUNTIF($U$5:$U$120,U76)=1,"OK","CHECK"))</x:f>
      </x:c>
      <x:c r="W76" t="str">
        <x:f>IF(A76="","",IF(AND(T76="OK",V76="OK",G76&gt;=0),"OK","CHECK"))</x:f>
      </x:c>
    </x:row>
    <x:row r="77" ht="18" customHeight="1">
      <x:c r="S77" t="str">
        <x:f>IF(A77="","",SUM(H77:R77))</x:f>
      </x:c>
      <x:c r="T77" t="str">
        <x:f>IF(A77="","",IF(AND(MIN(H77:R77)&gt;=0,MAX(H77:R77)&lt;=1,S77&lt;=1),"OK","CHECK"))</x:f>
      </x:c>
      <x:c r="U77" t="str">
        <x:f>IF(A77="","", "LOSS-"&amp;A77&amp;"-L"&amp;TEXT(B77,"00")&amp;"-"&amp;TEXT(C77,"yyyymmdd")&amp;"-"&amp;D77&amp;"-"&amp;E77)</x:f>
      </x:c>
      <x:c r="V77" t="str">
        <x:f>IF(U77="","",IF(COUNTIF($U$5:$U$120,U77)=1,"OK","CHECK"))</x:f>
      </x:c>
      <x:c r="W77" t="str">
        <x:f>IF(A77="","",IF(AND(T77="OK",V77="OK",G77&gt;=0),"OK","CHECK"))</x:f>
      </x:c>
    </x:row>
    <x:row r="78" ht="18" customHeight="1">
      <x:c r="S78" t="str">
        <x:f>IF(A78="","",SUM(H78:R78))</x:f>
      </x:c>
      <x:c r="T78" t="str">
        <x:f>IF(A78="","",IF(AND(MIN(H78:R78)&gt;=0,MAX(H78:R78)&lt;=1,S78&lt;=1),"OK","CHECK"))</x:f>
      </x:c>
      <x:c r="U78" t="str">
        <x:f>IF(A78="","", "LOSS-"&amp;A78&amp;"-L"&amp;TEXT(B78,"00")&amp;"-"&amp;TEXT(C78,"yyyymmdd")&amp;"-"&amp;D78&amp;"-"&amp;E78)</x:f>
      </x:c>
      <x:c r="V78" t="str">
        <x:f>IF(U78="","",IF(COUNTIF($U$5:$U$120,U78)=1,"OK","CHECK"))</x:f>
      </x:c>
      <x:c r="W78" t="str">
        <x:f>IF(A78="","",IF(AND(T78="OK",V78="OK",G78&gt;=0),"OK","CHECK"))</x:f>
      </x:c>
    </x:row>
    <x:row r="79" ht="18" customHeight="1">
      <x:c r="S79" t="str">
        <x:f>IF(A79="","",SUM(H79:R79))</x:f>
      </x:c>
      <x:c r="T79" t="str">
        <x:f>IF(A79="","",IF(AND(MIN(H79:R79)&gt;=0,MAX(H79:R79)&lt;=1,S79&lt;=1),"OK","CHECK"))</x:f>
      </x:c>
      <x:c r="U79" t="str">
        <x:f>IF(A79="","", "LOSS-"&amp;A79&amp;"-L"&amp;TEXT(B79,"00")&amp;"-"&amp;TEXT(C79,"yyyymmdd")&amp;"-"&amp;D79&amp;"-"&amp;E79)</x:f>
      </x:c>
      <x:c r="V79" t="str">
        <x:f>IF(U79="","",IF(COUNTIF($U$5:$U$120,U79)=1,"OK","CHECK"))</x:f>
      </x:c>
      <x:c r="W79" t="str">
        <x:f>IF(A79="","",IF(AND(T79="OK",V79="OK",G79&gt;=0),"OK","CHECK"))</x:f>
      </x:c>
    </x:row>
    <x:row r="80" ht="18" customHeight="1">
      <x:c r="S80" t="str">
        <x:f>IF(A80="","",SUM(H80:R80))</x:f>
      </x:c>
      <x:c r="T80" t="str">
        <x:f>IF(A80="","",IF(AND(MIN(H80:R80)&gt;=0,MAX(H80:R80)&lt;=1,S80&lt;=1),"OK","CHECK"))</x:f>
      </x:c>
      <x:c r="U80" t="str">
        <x:f>IF(A80="","", "LOSS-"&amp;A80&amp;"-L"&amp;TEXT(B80,"00")&amp;"-"&amp;TEXT(C80,"yyyymmdd")&amp;"-"&amp;D80&amp;"-"&amp;E80)</x:f>
      </x:c>
      <x:c r="V80" t="str">
        <x:f>IF(U80="","",IF(COUNTIF($U$5:$U$120,U80)=1,"OK","CHECK"))</x:f>
      </x:c>
      <x:c r="W80" t="str">
        <x:f>IF(A80="","",IF(AND(T80="OK",V80="OK",G80&gt;=0),"OK","CHECK"))</x:f>
      </x:c>
    </x:row>
    <x:row r="81" ht="18" customHeight="1">
      <x:c r="S81" t="str">
        <x:f>IF(A81="","",SUM(H81:R81))</x:f>
      </x:c>
      <x:c r="T81" t="str">
        <x:f>IF(A81="","",IF(AND(MIN(H81:R81)&gt;=0,MAX(H81:R81)&lt;=1,S81&lt;=1),"OK","CHECK"))</x:f>
      </x:c>
      <x:c r="U81" t="str">
        <x:f>IF(A81="","", "LOSS-"&amp;A81&amp;"-L"&amp;TEXT(B81,"00")&amp;"-"&amp;TEXT(C81,"yyyymmdd")&amp;"-"&amp;D81&amp;"-"&amp;E81)</x:f>
      </x:c>
      <x:c r="V81" t="str">
        <x:f>IF(U81="","",IF(COUNTIF($U$5:$U$120,U81)=1,"OK","CHECK"))</x:f>
      </x:c>
      <x:c r="W81" t="str">
        <x:f>IF(A81="","",IF(AND(T81="OK",V81="OK",G81&gt;=0),"OK","CHECK"))</x:f>
      </x:c>
    </x:row>
    <x:row r="82" ht="18" customHeight="1">
      <x:c r="S82" t="str">
        <x:f>IF(A82="","",SUM(H82:R82))</x:f>
      </x:c>
      <x:c r="T82" t="str">
        <x:f>IF(A82="","",IF(AND(MIN(H82:R82)&gt;=0,MAX(H82:R82)&lt;=1,S82&lt;=1),"OK","CHECK"))</x:f>
      </x:c>
      <x:c r="U82" t="str">
        <x:f>IF(A82="","", "LOSS-"&amp;A82&amp;"-L"&amp;TEXT(B82,"00")&amp;"-"&amp;TEXT(C82,"yyyymmdd")&amp;"-"&amp;D82&amp;"-"&amp;E82)</x:f>
      </x:c>
      <x:c r="V82" t="str">
        <x:f>IF(U82="","",IF(COUNTIF($U$5:$U$120,U82)=1,"OK","CHECK"))</x:f>
      </x:c>
      <x:c r="W82" t="str">
        <x:f>IF(A82="","",IF(AND(T82="OK",V82="OK",G82&gt;=0),"OK","CHECK"))</x:f>
      </x:c>
    </x:row>
    <x:row r="83" ht="18" customHeight="1">
      <x:c r="S83" t="str">
        <x:f>IF(A83="","",SUM(H83:R83))</x:f>
      </x:c>
      <x:c r="T83" t="str">
        <x:f>IF(A83="","",IF(AND(MIN(H83:R83)&gt;=0,MAX(H83:R83)&lt;=1,S83&lt;=1),"OK","CHECK"))</x:f>
      </x:c>
      <x:c r="U83" t="str">
        <x:f>IF(A83="","", "LOSS-"&amp;A83&amp;"-L"&amp;TEXT(B83,"00")&amp;"-"&amp;TEXT(C83,"yyyymmdd")&amp;"-"&amp;D83&amp;"-"&amp;E83)</x:f>
      </x:c>
      <x:c r="V83" t="str">
        <x:f>IF(U83="","",IF(COUNTIF($U$5:$U$120,U83)=1,"OK","CHECK"))</x:f>
      </x:c>
      <x:c r="W83" t="str">
        <x:f>IF(A83="","",IF(AND(T83="OK",V83="OK",G83&gt;=0),"OK","CHECK"))</x:f>
      </x:c>
    </x:row>
    <x:row r="84" ht="18" customHeight="1">
      <x:c r="S84" t="str">
        <x:f>IF(A84="","",SUM(H84:R84))</x:f>
      </x:c>
      <x:c r="T84" t="str">
        <x:f>IF(A84="","",IF(AND(MIN(H84:R84)&gt;=0,MAX(H84:R84)&lt;=1,S84&lt;=1),"OK","CHECK"))</x:f>
      </x:c>
      <x:c r="U84" t="str">
        <x:f>IF(A84="","", "LOSS-"&amp;A84&amp;"-L"&amp;TEXT(B84,"00")&amp;"-"&amp;TEXT(C84,"yyyymmdd")&amp;"-"&amp;D84&amp;"-"&amp;E84)</x:f>
      </x:c>
      <x:c r="V84" t="str">
        <x:f>IF(U84="","",IF(COUNTIF($U$5:$U$120,U84)=1,"OK","CHECK"))</x:f>
      </x:c>
      <x:c r="W84" t="str">
        <x:f>IF(A84="","",IF(AND(T84="OK",V84="OK",G84&gt;=0),"OK","CHECK"))</x:f>
      </x:c>
    </x:row>
    <x:row r="85" ht="18" customHeight="1">
      <x:c r="S85" t="str">
        <x:f>IF(A85="","",SUM(H85:R85))</x:f>
      </x:c>
      <x:c r="T85" t="str">
        <x:f>IF(A85="","",IF(AND(MIN(H85:R85)&gt;=0,MAX(H85:R85)&lt;=1,S85&lt;=1),"OK","CHECK"))</x:f>
      </x:c>
      <x:c r="U85" t="str">
        <x:f>IF(A85="","", "LOSS-"&amp;A85&amp;"-L"&amp;TEXT(B85,"00")&amp;"-"&amp;TEXT(C85,"yyyymmdd")&amp;"-"&amp;D85&amp;"-"&amp;E85)</x:f>
      </x:c>
      <x:c r="V85" t="str">
        <x:f>IF(U85="","",IF(COUNTIF($U$5:$U$120,U85)=1,"OK","CHECK"))</x:f>
      </x:c>
      <x:c r="W85" t="str">
        <x:f>IF(A85="","",IF(AND(T85="OK",V85="OK",G85&gt;=0),"OK","CHECK"))</x:f>
      </x:c>
    </x:row>
    <x:row r="86" ht="18" customHeight="1">
      <x:c r="S86" t="str">
        <x:f>IF(A86="","",SUM(H86:R86))</x:f>
      </x:c>
      <x:c r="T86" t="str">
        <x:f>IF(A86="","",IF(AND(MIN(H86:R86)&gt;=0,MAX(H86:R86)&lt;=1,S86&lt;=1),"OK","CHECK"))</x:f>
      </x:c>
      <x:c r="U86" t="str">
        <x:f>IF(A86="","", "LOSS-"&amp;A86&amp;"-L"&amp;TEXT(B86,"00")&amp;"-"&amp;TEXT(C86,"yyyymmdd")&amp;"-"&amp;D86&amp;"-"&amp;E86)</x:f>
      </x:c>
      <x:c r="V86" t="str">
        <x:f>IF(U86="","",IF(COUNTIF($U$5:$U$120,U86)=1,"OK","CHECK"))</x:f>
      </x:c>
      <x:c r="W86" t="str">
        <x:f>IF(A86="","",IF(AND(T86="OK",V86="OK",G86&gt;=0),"OK","CHECK"))</x:f>
      </x:c>
    </x:row>
    <x:row r="87" ht="18" customHeight="1">
      <x:c r="S87" t="str">
        <x:f>IF(A87="","",SUM(H87:R87))</x:f>
      </x:c>
      <x:c r="T87" t="str">
        <x:f>IF(A87="","",IF(AND(MIN(H87:R87)&gt;=0,MAX(H87:R87)&lt;=1,S87&lt;=1),"OK","CHECK"))</x:f>
      </x:c>
      <x:c r="U87" t="str">
        <x:f>IF(A87="","", "LOSS-"&amp;A87&amp;"-L"&amp;TEXT(B87,"00")&amp;"-"&amp;TEXT(C87,"yyyymmdd")&amp;"-"&amp;D87&amp;"-"&amp;E87)</x:f>
      </x:c>
      <x:c r="V87" t="str">
        <x:f>IF(U87="","",IF(COUNTIF($U$5:$U$120,U87)=1,"OK","CHECK"))</x:f>
      </x:c>
      <x:c r="W87" t="str">
        <x:f>IF(A87="","",IF(AND(T87="OK",V87="OK",G87&gt;=0),"OK","CHECK"))</x:f>
      </x:c>
    </x:row>
    <x:row r="88" ht="18" customHeight="1">
      <x:c r="S88" t="str">
        <x:f>IF(A88="","",SUM(H88:R88))</x:f>
      </x:c>
      <x:c r="T88" t="str">
        <x:f>IF(A88="","",IF(AND(MIN(H88:R88)&gt;=0,MAX(H88:R88)&lt;=1,S88&lt;=1),"OK","CHECK"))</x:f>
      </x:c>
      <x:c r="U88" t="str">
        <x:f>IF(A88="","", "LOSS-"&amp;A88&amp;"-L"&amp;TEXT(B88,"00")&amp;"-"&amp;TEXT(C88,"yyyymmdd")&amp;"-"&amp;D88&amp;"-"&amp;E88)</x:f>
      </x:c>
      <x:c r="V88" t="str">
        <x:f>IF(U88="","",IF(COUNTIF($U$5:$U$120,U88)=1,"OK","CHECK"))</x:f>
      </x:c>
      <x:c r="W88" t="str">
        <x:f>IF(A88="","",IF(AND(T88="OK",V88="OK",G88&gt;=0),"OK","CHECK"))</x:f>
      </x:c>
    </x:row>
    <x:row r="89" ht="18" customHeight="1">
      <x:c r="S89" t="str">
        <x:f>IF(A89="","",SUM(H89:R89))</x:f>
      </x:c>
      <x:c r="T89" t="str">
        <x:f>IF(A89="","",IF(AND(MIN(H89:R89)&gt;=0,MAX(H89:R89)&lt;=1,S89&lt;=1),"OK","CHECK"))</x:f>
      </x:c>
      <x:c r="U89" t="str">
        <x:f>IF(A89="","", "LOSS-"&amp;A89&amp;"-L"&amp;TEXT(B89,"00")&amp;"-"&amp;TEXT(C89,"yyyymmdd")&amp;"-"&amp;D89&amp;"-"&amp;E89)</x:f>
      </x:c>
      <x:c r="V89" t="str">
        <x:f>IF(U89="","",IF(COUNTIF($U$5:$U$120,U89)=1,"OK","CHECK"))</x:f>
      </x:c>
      <x:c r="W89" t="str">
        <x:f>IF(A89="","",IF(AND(T89="OK",V89="OK",G89&gt;=0),"OK","CHECK"))</x:f>
      </x:c>
    </x:row>
    <x:row r="90" ht="18" customHeight="1">
      <x:c r="S90" t="str">
        <x:f>IF(A90="","",SUM(H90:R90))</x:f>
      </x:c>
      <x:c r="T90" t="str">
        <x:f>IF(A90="","",IF(AND(MIN(H90:R90)&gt;=0,MAX(H90:R90)&lt;=1,S90&lt;=1),"OK","CHECK"))</x:f>
      </x:c>
      <x:c r="U90" t="str">
        <x:f>IF(A90="","", "LOSS-"&amp;A90&amp;"-L"&amp;TEXT(B90,"00")&amp;"-"&amp;TEXT(C90,"yyyymmdd")&amp;"-"&amp;D90&amp;"-"&amp;E90)</x:f>
      </x:c>
      <x:c r="V90" t="str">
        <x:f>IF(U90="","",IF(COUNTIF($U$5:$U$120,U90)=1,"OK","CHECK"))</x:f>
      </x:c>
      <x:c r="W90" t="str">
        <x:f>IF(A90="","",IF(AND(T90="OK",V90="OK",G90&gt;=0),"OK","CHECK"))</x:f>
      </x:c>
    </x:row>
    <x:row r="91" ht="18" customHeight="1">
      <x:c r="S91" t="str">
        <x:f>IF(A91="","",SUM(H91:R91))</x:f>
      </x:c>
      <x:c r="T91" t="str">
        <x:f>IF(A91="","",IF(AND(MIN(H91:R91)&gt;=0,MAX(H91:R91)&lt;=1,S91&lt;=1),"OK","CHECK"))</x:f>
      </x:c>
      <x:c r="U91" t="str">
        <x:f>IF(A91="","", "LOSS-"&amp;A91&amp;"-L"&amp;TEXT(B91,"00")&amp;"-"&amp;TEXT(C91,"yyyymmdd")&amp;"-"&amp;D91&amp;"-"&amp;E91)</x:f>
      </x:c>
      <x:c r="V91" t="str">
        <x:f>IF(U91="","",IF(COUNTIF($U$5:$U$120,U91)=1,"OK","CHECK"))</x:f>
      </x:c>
      <x:c r="W91" t="str">
        <x:f>IF(A91="","",IF(AND(T91="OK",V91="OK",G91&gt;=0),"OK","CHECK"))</x:f>
      </x:c>
    </x:row>
    <x:row r="92" ht="18" customHeight="1">
      <x:c r="S92" t="str">
        <x:f>IF(A92="","",SUM(H92:R92))</x:f>
      </x:c>
      <x:c r="T92" t="str">
        <x:f>IF(A92="","",IF(AND(MIN(H92:R92)&gt;=0,MAX(H92:R92)&lt;=1,S92&lt;=1),"OK","CHECK"))</x:f>
      </x:c>
      <x:c r="U92" t="str">
        <x:f>IF(A92="","", "LOSS-"&amp;A92&amp;"-L"&amp;TEXT(B92,"00")&amp;"-"&amp;TEXT(C92,"yyyymmdd")&amp;"-"&amp;D92&amp;"-"&amp;E92)</x:f>
      </x:c>
      <x:c r="V92" t="str">
        <x:f>IF(U92="","",IF(COUNTIF($U$5:$U$120,U92)=1,"OK","CHECK"))</x:f>
      </x:c>
      <x:c r="W92" t="str">
        <x:f>IF(A92="","",IF(AND(T92="OK",V92="OK",G92&gt;=0),"OK","CHECK"))</x:f>
      </x:c>
    </x:row>
    <x:row r="93" ht="18" customHeight="1">
      <x:c r="S93" t="str">
        <x:f>IF(A93="","",SUM(H93:R93))</x:f>
      </x:c>
      <x:c r="T93" t="str">
        <x:f>IF(A93="","",IF(AND(MIN(H93:R93)&gt;=0,MAX(H93:R93)&lt;=1,S93&lt;=1),"OK","CHECK"))</x:f>
      </x:c>
      <x:c r="U93" t="str">
        <x:f>IF(A93="","", "LOSS-"&amp;A93&amp;"-L"&amp;TEXT(B93,"00")&amp;"-"&amp;TEXT(C93,"yyyymmdd")&amp;"-"&amp;D93&amp;"-"&amp;E93)</x:f>
      </x:c>
      <x:c r="V93" t="str">
        <x:f>IF(U93="","",IF(COUNTIF($U$5:$U$120,U93)=1,"OK","CHECK"))</x:f>
      </x:c>
      <x:c r="W93" t="str">
        <x:f>IF(A93="","",IF(AND(T93="OK",V93="OK",G93&gt;=0),"OK","CHECK"))</x:f>
      </x:c>
    </x:row>
    <x:row r="94" ht="18" customHeight="1">
      <x:c r="S94" t="str">
        <x:f>IF(A94="","",SUM(H94:R94))</x:f>
      </x:c>
      <x:c r="T94" t="str">
        <x:f>IF(A94="","",IF(AND(MIN(H94:R94)&gt;=0,MAX(H94:R94)&lt;=1,S94&lt;=1),"OK","CHECK"))</x:f>
      </x:c>
      <x:c r="U94" t="str">
        <x:f>IF(A94="","", "LOSS-"&amp;A94&amp;"-L"&amp;TEXT(B94,"00")&amp;"-"&amp;TEXT(C94,"yyyymmdd")&amp;"-"&amp;D94&amp;"-"&amp;E94)</x:f>
      </x:c>
      <x:c r="V94" t="str">
        <x:f>IF(U94="","",IF(COUNTIF($U$5:$U$120,U94)=1,"OK","CHECK"))</x:f>
      </x:c>
      <x:c r="W94" t="str">
        <x:f>IF(A94="","",IF(AND(T94="OK",V94="OK",G94&gt;=0),"OK","CHECK"))</x:f>
      </x:c>
    </x:row>
    <x:row r="95" ht="18" customHeight="1">
      <x:c r="S95" t="str">
        <x:f>IF(A95="","",SUM(H95:R95))</x:f>
      </x:c>
      <x:c r="T95" t="str">
        <x:f>IF(A95="","",IF(AND(MIN(H95:R95)&gt;=0,MAX(H95:R95)&lt;=1,S95&lt;=1),"OK","CHECK"))</x:f>
      </x:c>
      <x:c r="U95" t="str">
        <x:f>IF(A95="","", "LOSS-"&amp;A95&amp;"-L"&amp;TEXT(B95,"00")&amp;"-"&amp;TEXT(C95,"yyyymmdd")&amp;"-"&amp;D95&amp;"-"&amp;E95)</x:f>
      </x:c>
      <x:c r="V95" t="str">
        <x:f>IF(U95="","",IF(COUNTIF($U$5:$U$120,U95)=1,"OK","CHECK"))</x:f>
      </x:c>
      <x:c r="W95" t="str">
        <x:f>IF(A95="","",IF(AND(T95="OK",V95="OK",G95&gt;=0),"OK","CHECK"))</x:f>
      </x:c>
    </x:row>
    <x:row r="96" ht="18" customHeight="1">
      <x:c r="S96" t="str">
        <x:f>IF(A96="","",SUM(H96:R96))</x:f>
      </x:c>
      <x:c r="T96" t="str">
        <x:f>IF(A96="","",IF(AND(MIN(H96:R96)&gt;=0,MAX(H96:R96)&lt;=1,S96&lt;=1),"OK","CHECK"))</x:f>
      </x:c>
      <x:c r="U96" t="str">
        <x:f>IF(A96="","", "LOSS-"&amp;A96&amp;"-L"&amp;TEXT(B96,"00")&amp;"-"&amp;TEXT(C96,"yyyymmdd")&amp;"-"&amp;D96&amp;"-"&amp;E96)</x:f>
      </x:c>
      <x:c r="V96" t="str">
        <x:f>IF(U96="","",IF(COUNTIF($U$5:$U$120,U96)=1,"OK","CHECK"))</x:f>
      </x:c>
      <x:c r="W96" t="str">
        <x:f>IF(A96="","",IF(AND(T96="OK",V96="OK",G96&gt;=0),"OK","CHECK"))</x:f>
      </x:c>
    </x:row>
    <x:row r="97" ht="18" customHeight="1">
      <x:c r="S97" t="str">
        <x:f>IF(A97="","",SUM(H97:R97))</x:f>
      </x:c>
      <x:c r="T97" t="str">
        <x:f>IF(A97="","",IF(AND(MIN(H97:R97)&gt;=0,MAX(H97:R97)&lt;=1,S97&lt;=1),"OK","CHECK"))</x:f>
      </x:c>
      <x:c r="U97" t="str">
        <x:f>IF(A97="","", "LOSS-"&amp;A97&amp;"-L"&amp;TEXT(B97,"00")&amp;"-"&amp;TEXT(C97,"yyyymmdd")&amp;"-"&amp;D97&amp;"-"&amp;E97)</x:f>
      </x:c>
      <x:c r="V97" t="str">
        <x:f>IF(U97="","",IF(COUNTIF($U$5:$U$120,U97)=1,"OK","CHECK"))</x:f>
      </x:c>
      <x:c r="W97" t="str">
        <x:f>IF(A97="","",IF(AND(T97="OK",V97="OK",G97&gt;=0),"OK","CHECK"))</x:f>
      </x:c>
    </x:row>
    <x:row r="98" ht="18" customHeight="1">
      <x:c r="S98" t="str">
        <x:f>IF(A98="","",SUM(H98:R98))</x:f>
      </x:c>
      <x:c r="T98" t="str">
        <x:f>IF(A98="","",IF(AND(MIN(H98:R98)&gt;=0,MAX(H98:R98)&lt;=1,S98&lt;=1),"OK","CHECK"))</x:f>
      </x:c>
      <x:c r="U98" t="str">
        <x:f>IF(A98="","", "LOSS-"&amp;A98&amp;"-L"&amp;TEXT(B98,"00")&amp;"-"&amp;TEXT(C98,"yyyymmdd")&amp;"-"&amp;D98&amp;"-"&amp;E98)</x:f>
      </x:c>
      <x:c r="V98" t="str">
        <x:f>IF(U98="","",IF(COUNTIF($U$5:$U$120,U98)=1,"OK","CHECK"))</x:f>
      </x:c>
      <x:c r="W98" t="str">
        <x:f>IF(A98="","",IF(AND(T98="OK",V98="OK",G98&gt;=0),"OK","CHECK"))</x:f>
      </x:c>
    </x:row>
    <x:row r="99" ht="18" customHeight="1">
      <x:c r="S99" t="str">
        <x:f>IF(A99="","",SUM(H99:R99))</x:f>
      </x:c>
      <x:c r="T99" t="str">
        <x:f>IF(A99="","",IF(AND(MIN(H99:R99)&gt;=0,MAX(H99:R99)&lt;=1,S99&lt;=1),"OK","CHECK"))</x:f>
      </x:c>
      <x:c r="U99" t="str">
        <x:f>IF(A99="","", "LOSS-"&amp;A99&amp;"-L"&amp;TEXT(B99,"00")&amp;"-"&amp;TEXT(C99,"yyyymmdd")&amp;"-"&amp;D99&amp;"-"&amp;E99)</x:f>
      </x:c>
      <x:c r="V99" t="str">
        <x:f>IF(U99="","",IF(COUNTIF($U$5:$U$120,U99)=1,"OK","CHECK"))</x:f>
      </x:c>
      <x:c r="W99" t="str">
        <x:f>IF(A99="","",IF(AND(T99="OK",V99="OK",G99&gt;=0),"OK","CHECK"))</x:f>
      </x:c>
    </x:row>
    <x:row r="100" ht="18" customHeight="1">
      <x:c r="S100" t="str">
        <x:f>IF(A100="","",SUM(H100:R100))</x:f>
      </x:c>
      <x:c r="T100" t="str">
        <x:f>IF(A100="","",IF(AND(MIN(H100:R100)&gt;=0,MAX(H100:R100)&lt;=1,S100&lt;=1),"OK","CHECK"))</x:f>
      </x:c>
      <x:c r="U100" t="str">
        <x:f>IF(A100="","", "LOSS-"&amp;A100&amp;"-L"&amp;TEXT(B100,"00")&amp;"-"&amp;TEXT(C100,"yyyymmdd")&amp;"-"&amp;D100&amp;"-"&amp;E100)</x:f>
      </x:c>
      <x:c r="V100" t="str">
        <x:f>IF(U100="","",IF(COUNTIF($U$5:$U$120,U100)=1,"OK","CHECK"))</x:f>
      </x:c>
      <x:c r="W100" t="str">
        <x:f>IF(A100="","",IF(AND(T100="OK",V100="OK",G100&gt;=0),"OK","CHECK"))</x:f>
      </x:c>
    </x:row>
    <x:row r="101" ht="18" customHeight="1">
      <x:c r="S101" t="str">
        <x:f>IF(A101="","",SUM(H101:R101))</x:f>
      </x:c>
      <x:c r="T101" t="str">
        <x:f>IF(A101="","",IF(AND(MIN(H101:R101)&gt;=0,MAX(H101:R101)&lt;=1,S101&lt;=1),"OK","CHECK"))</x:f>
      </x:c>
      <x:c r="U101" t="str">
        <x:f>IF(A101="","", "LOSS-"&amp;A101&amp;"-L"&amp;TEXT(B101,"00")&amp;"-"&amp;TEXT(C101,"yyyymmdd")&amp;"-"&amp;D101&amp;"-"&amp;E101)</x:f>
      </x:c>
      <x:c r="V101" t="str">
        <x:f>IF(U101="","",IF(COUNTIF($U$5:$U$120,U101)=1,"OK","CHECK"))</x:f>
      </x:c>
      <x:c r="W101" t="str">
        <x:f>IF(A101="","",IF(AND(T101="OK",V101="OK",G101&gt;=0),"OK","CHECK"))</x:f>
      </x:c>
    </x:row>
    <x:row r="102" ht="18" customHeight="1">
      <x:c r="S102" t="str">
        <x:f>IF(A102="","",SUM(H102:R102))</x:f>
      </x:c>
      <x:c r="T102" t="str">
        <x:f>IF(A102="","",IF(AND(MIN(H102:R102)&gt;=0,MAX(H102:R102)&lt;=1,S102&lt;=1),"OK","CHECK"))</x:f>
      </x:c>
      <x:c r="U102" t="str">
        <x:f>IF(A102="","", "LOSS-"&amp;A102&amp;"-L"&amp;TEXT(B102,"00")&amp;"-"&amp;TEXT(C102,"yyyymmdd")&amp;"-"&amp;D102&amp;"-"&amp;E102)</x:f>
      </x:c>
      <x:c r="V102" t="str">
        <x:f>IF(U102="","",IF(COUNTIF($U$5:$U$120,U102)=1,"OK","CHECK"))</x:f>
      </x:c>
      <x:c r="W102" t="str">
        <x:f>IF(A102="","",IF(AND(T102="OK",V102="OK",G102&gt;=0),"OK","CHECK"))</x:f>
      </x:c>
    </x:row>
    <x:row r="103" ht="18" customHeight="1">
      <x:c r="S103" t="str">
        <x:f>IF(A103="","",SUM(H103:R103))</x:f>
      </x:c>
      <x:c r="T103" t="str">
        <x:f>IF(A103="","",IF(AND(MIN(H103:R103)&gt;=0,MAX(H103:R103)&lt;=1,S103&lt;=1),"OK","CHECK"))</x:f>
      </x:c>
      <x:c r="U103" t="str">
        <x:f>IF(A103="","", "LOSS-"&amp;A103&amp;"-L"&amp;TEXT(B103,"00")&amp;"-"&amp;TEXT(C103,"yyyymmdd")&amp;"-"&amp;D103&amp;"-"&amp;E103)</x:f>
      </x:c>
      <x:c r="V103" t="str">
        <x:f>IF(U103="","",IF(COUNTIF($U$5:$U$120,U103)=1,"OK","CHECK"))</x:f>
      </x:c>
      <x:c r="W103" t="str">
        <x:f>IF(A103="","",IF(AND(T103="OK",V103="OK",G103&gt;=0),"OK","CHECK"))</x:f>
      </x:c>
    </x:row>
    <x:row r="104" ht="18" customHeight="1">
      <x:c r="S104" t="str">
        <x:f>IF(A104="","",SUM(H104:R104))</x:f>
      </x:c>
      <x:c r="T104" t="str">
        <x:f>IF(A104="","",IF(AND(MIN(H104:R104)&gt;=0,MAX(H104:R104)&lt;=1,S104&lt;=1),"OK","CHECK"))</x:f>
      </x:c>
      <x:c r="U104" t="str">
        <x:f>IF(A104="","", "LOSS-"&amp;A104&amp;"-L"&amp;TEXT(B104,"00")&amp;"-"&amp;TEXT(C104,"yyyymmdd")&amp;"-"&amp;D104&amp;"-"&amp;E104)</x:f>
      </x:c>
      <x:c r="V104" t="str">
        <x:f>IF(U104="","",IF(COUNTIF($U$5:$U$120,U104)=1,"OK","CHECK"))</x:f>
      </x:c>
      <x:c r="W104" t="str">
        <x:f>IF(A104="","",IF(AND(T104="OK",V104="OK",G104&gt;=0),"OK","CHECK"))</x:f>
      </x:c>
    </x:row>
    <x:row r="105" ht="18" customHeight="1">
      <x:c r="S105" t="str">
        <x:f>IF(A105="","",SUM(H105:R105))</x:f>
      </x:c>
      <x:c r="T105" t="str">
        <x:f>IF(A105="","",IF(AND(MIN(H105:R105)&gt;=0,MAX(H105:R105)&lt;=1,S105&lt;=1),"OK","CHECK"))</x:f>
      </x:c>
      <x:c r="U105" t="str">
        <x:f>IF(A105="","", "LOSS-"&amp;A105&amp;"-L"&amp;TEXT(B105,"00")&amp;"-"&amp;TEXT(C105,"yyyymmdd")&amp;"-"&amp;D105&amp;"-"&amp;E105)</x:f>
      </x:c>
      <x:c r="V105" t="str">
        <x:f>IF(U105="","",IF(COUNTIF($U$5:$U$120,U105)=1,"OK","CHECK"))</x:f>
      </x:c>
      <x:c r="W105" t="str">
        <x:f>IF(A105="","",IF(AND(T105="OK",V105="OK",G105&gt;=0),"OK","CHECK"))</x:f>
      </x:c>
    </x:row>
    <x:row r="106" ht="18" customHeight="1">
      <x:c r="S106" t="str">
        <x:f>IF(A106="","",SUM(H106:R106))</x:f>
      </x:c>
      <x:c r="T106" t="str">
        <x:f>IF(A106="","",IF(AND(MIN(H106:R106)&gt;=0,MAX(H106:R106)&lt;=1,S106&lt;=1),"OK","CHECK"))</x:f>
      </x:c>
      <x:c r="U106" t="str">
        <x:f>IF(A106="","", "LOSS-"&amp;A106&amp;"-L"&amp;TEXT(B106,"00")&amp;"-"&amp;TEXT(C106,"yyyymmdd")&amp;"-"&amp;D106&amp;"-"&amp;E106)</x:f>
      </x:c>
      <x:c r="V106" t="str">
        <x:f>IF(U106="","",IF(COUNTIF($U$5:$U$120,U106)=1,"OK","CHECK"))</x:f>
      </x:c>
      <x:c r="W106" t="str">
        <x:f>IF(A106="","",IF(AND(T106="OK",V106="OK",G106&gt;=0),"OK","CHECK"))</x:f>
      </x:c>
    </x:row>
    <x:row r="107" ht="18" customHeight="1">
      <x:c r="S107" t="str">
        <x:f>IF(A107="","",SUM(H107:R107))</x:f>
      </x:c>
      <x:c r="T107" t="str">
        <x:f>IF(A107="","",IF(AND(MIN(H107:R107)&gt;=0,MAX(H107:R107)&lt;=1,S107&lt;=1),"OK","CHECK"))</x:f>
      </x:c>
      <x:c r="U107" t="str">
        <x:f>IF(A107="","", "LOSS-"&amp;A107&amp;"-L"&amp;TEXT(B107,"00")&amp;"-"&amp;TEXT(C107,"yyyymmdd")&amp;"-"&amp;D107&amp;"-"&amp;E107)</x:f>
      </x:c>
      <x:c r="V107" t="str">
        <x:f>IF(U107="","",IF(COUNTIF($U$5:$U$120,U107)=1,"OK","CHECK"))</x:f>
      </x:c>
      <x:c r="W107" t="str">
        <x:f>IF(A107="","",IF(AND(T107="OK",V107="OK",G107&gt;=0),"OK","CHECK"))</x:f>
      </x:c>
    </x:row>
    <x:row r="108" ht="18" customHeight="1">
      <x:c r="S108" t="str">
        <x:f>IF(A108="","",SUM(H108:R108))</x:f>
      </x:c>
      <x:c r="T108" t="str">
        <x:f>IF(A108="","",IF(AND(MIN(H108:R108)&gt;=0,MAX(H108:R108)&lt;=1,S108&lt;=1),"OK","CHECK"))</x:f>
      </x:c>
      <x:c r="U108" t="str">
        <x:f>IF(A108="","", "LOSS-"&amp;A108&amp;"-L"&amp;TEXT(B108,"00")&amp;"-"&amp;TEXT(C108,"yyyymmdd")&amp;"-"&amp;D108&amp;"-"&amp;E108)</x:f>
      </x:c>
      <x:c r="V108" t="str">
        <x:f>IF(U108="","",IF(COUNTIF($U$5:$U$120,U108)=1,"OK","CHECK"))</x:f>
      </x:c>
      <x:c r="W108" t="str">
        <x:f>IF(A108="","",IF(AND(T108="OK",V108="OK",G108&gt;=0),"OK","CHECK"))</x:f>
      </x:c>
    </x:row>
    <x:row r="109" ht="18" customHeight="1">
      <x:c r="S109" t="str">
        <x:f>IF(A109="","",SUM(H109:R109))</x:f>
      </x:c>
      <x:c r="T109" t="str">
        <x:f>IF(A109="","",IF(AND(MIN(H109:R109)&gt;=0,MAX(H109:R109)&lt;=1,S109&lt;=1),"OK","CHECK"))</x:f>
      </x:c>
      <x:c r="U109" t="str">
        <x:f>IF(A109="","", "LOSS-"&amp;A109&amp;"-L"&amp;TEXT(B109,"00")&amp;"-"&amp;TEXT(C109,"yyyymmdd")&amp;"-"&amp;D109&amp;"-"&amp;E109)</x:f>
      </x:c>
      <x:c r="V109" t="str">
        <x:f>IF(U109="","",IF(COUNTIF($U$5:$U$120,U109)=1,"OK","CHECK"))</x:f>
      </x:c>
      <x:c r="W109" t="str">
        <x:f>IF(A109="","",IF(AND(T109="OK",V109="OK",G109&gt;=0),"OK","CHECK"))</x:f>
      </x:c>
    </x:row>
    <x:row r="110" ht="18" customHeight="1">
      <x:c r="S110" t="str">
        <x:f>IF(A110="","",SUM(H110:R110))</x:f>
      </x:c>
      <x:c r="T110" t="str">
        <x:f>IF(A110="","",IF(AND(MIN(H110:R110)&gt;=0,MAX(H110:R110)&lt;=1,S110&lt;=1),"OK","CHECK"))</x:f>
      </x:c>
      <x:c r="U110" t="str">
        <x:f>IF(A110="","", "LOSS-"&amp;A110&amp;"-L"&amp;TEXT(B110,"00")&amp;"-"&amp;TEXT(C110,"yyyymmdd")&amp;"-"&amp;D110&amp;"-"&amp;E110)</x:f>
      </x:c>
      <x:c r="V110" t="str">
        <x:f>IF(U110="","",IF(COUNTIF($U$5:$U$120,U110)=1,"OK","CHECK"))</x:f>
      </x:c>
      <x:c r="W110" t="str">
        <x:f>IF(A110="","",IF(AND(T110="OK",V110="OK",G110&gt;=0),"OK","CHECK"))</x:f>
      </x:c>
    </x:row>
    <x:row r="111" ht="18" customHeight="1">
      <x:c r="S111" t="str">
        <x:f>IF(A111="","",SUM(H111:R111))</x:f>
      </x:c>
      <x:c r="T111" t="str">
        <x:f>IF(A111="","",IF(AND(MIN(H111:R111)&gt;=0,MAX(H111:R111)&lt;=1,S111&lt;=1),"OK","CHECK"))</x:f>
      </x:c>
      <x:c r="U111" t="str">
        <x:f>IF(A111="","", "LOSS-"&amp;A111&amp;"-L"&amp;TEXT(B111,"00")&amp;"-"&amp;TEXT(C111,"yyyymmdd")&amp;"-"&amp;D111&amp;"-"&amp;E111)</x:f>
      </x:c>
      <x:c r="V111" t="str">
        <x:f>IF(U111="","",IF(COUNTIF($U$5:$U$120,U111)=1,"OK","CHECK"))</x:f>
      </x:c>
      <x:c r="W111" t="str">
        <x:f>IF(A111="","",IF(AND(T111="OK",V111="OK",G111&gt;=0),"OK","CHECK"))</x:f>
      </x:c>
    </x:row>
    <x:row r="112" ht="18" customHeight="1">
      <x:c r="S112" t="str">
        <x:f>IF(A112="","",SUM(H112:R112))</x:f>
      </x:c>
      <x:c r="T112" t="str">
        <x:f>IF(A112="","",IF(AND(MIN(H112:R112)&gt;=0,MAX(H112:R112)&lt;=1,S112&lt;=1),"OK","CHECK"))</x:f>
      </x:c>
      <x:c r="U112" t="str">
        <x:f>IF(A112="","", "LOSS-"&amp;A112&amp;"-L"&amp;TEXT(B112,"00")&amp;"-"&amp;TEXT(C112,"yyyymmdd")&amp;"-"&amp;D112&amp;"-"&amp;E112)</x:f>
      </x:c>
      <x:c r="V112" t="str">
        <x:f>IF(U112="","",IF(COUNTIF($U$5:$U$120,U112)=1,"OK","CHECK"))</x:f>
      </x:c>
      <x:c r="W112" t="str">
        <x:f>IF(A112="","",IF(AND(T112="OK",V112="OK",G112&gt;=0),"OK","CHECK"))</x:f>
      </x:c>
    </x:row>
    <x:row r="113" ht="18" customHeight="1">
      <x:c r="S113" t="str">
        <x:f>IF(A113="","",SUM(H113:R113))</x:f>
      </x:c>
      <x:c r="T113" t="str">
        <x:f>IF(A113="","",IF(AND(MIN(H113:R113)&gt;=0,MAX(H113:R113)&lt;=1,S113&lt;=1),"OK","CHECK"))</x:f>
      </x:c>
      <x:c r="U113" t="str">
        <x:f>IF(A113="","", "LOSS-"&amp;A113&amp;"-L"&amp;TEXT(B113,"00")&amp;"-"&amp;TEXT(C113,"yyyymmdd")&amp;"-"&amp;D113&amp;"-"&amp;E113)</x:f>
      </x:c>
      <x:c r="V113" t="str">
        <x:f>IF(U113="","",IF(COUNTIF($U$5:$U$120,U113)=1,"OK","CHECK"))</x:f>
      </x:c>
      <x:c r="W113" t="str">
        <x:f>IF(A113="","",IF(AND(T113="OK",V113="OK",G113&gt;=0),"OK","CHECK"))</x:f>
      </x:c>
    </x:row>
    <x:row r="114" ht="18" customHeight="1">
      <x:c r="S114" t="str">
        <x:f>IF(A114="","",SUM(H114:R114))</x:f>
      </x:c>
      <x:c r="T114" t="str">
        <x:f>IF(A114="","",IF(AND(MIN(H114:R114)&gt;=0,MAX(H114:R114)&lt;=1,S114&lt;=1),"OK","CHECK"))</x:f>
      </x:c>
      <x:c r="U114" t="str">
        <x:f>IF(A114="","", "LOSS-"&amp;A114&amp;"-L"&amp;TEXT(B114,"00")&amp;"-"&amp;TEXT(C114,"yyyymmdd")&amp;"-"&amp;D114&amp;"-"&amp;E114)</x:f>
      </x:c>
      <x:c r="V114" t="str">
        <x:f>IF(U114="","",IF(COUNTIF($U$5:$U$120,U114)=1,"OK","CHECK"))</x:f>
      </x:c>
      <x:c r="W114" t="str">
        <x:f>IF(A114="","",IF(AND(T114="OK",V114="OK",G114&gt;=0),"OK","CHECK"))</x:f>
      </x:c>
    </x:row>
    <x:row r="115" ht="18" customHeight="1">
      <x:c r="S115" t="str">
        <x:f>IF(A115="","",SUM(H115:R115))</x:f>
      </x:c>
      <x:c r="T115" t="str">
        <x:f>IF(A115="","",IF(AND(MIN(H115:R115)&gt;=0,MAX(H115:R115)&lt;=1,S115&lt;=1),"OK","CHECK"))</x:f>
      </x:c>
      <x:c r="U115" t="str">
        <x:f>IF(A115="","", "LOSS-"&amp;A115&amp;"-L"&amp;TEXT(B115,"00")&amp;"-"&amp;TEXT(C115,"yyyymmdd")&amp;"-"&amp;D115&amp;"-"&amp;E115)</x:f>
      </x:c>
      <x:c r="V115" t="str">
        <x:f>IF(U115="","",IF(COUNTIF($U$5:$U$120,U115)=1,"OK","CHECK"))</x:f>
      </x:c>
      <x:c r="W115" t="str">
        <x:f>IF(A115="","",IF(AND(T115="OK",V115="OK",G115&gt;=0),"OK","CHECK"))</x:f>
      </x:c>
    </x:row>
    <x:row r="116" ht="18" customHeight="1">
      <x:c r="S116" t="str">
        <x:f>IF(A116="","",SUM(H116:R116))</x:f>
      </x:c>
      <x:c r="T116" t="str">
        <x:f>IF(A116="","",IF(AND(MIN(H116:R116)&gt;=0,MAX(H116:R116)&lt;=1,S116&lt;=1),"OK","CHECK"))</x:f>
      </x:c>
      <x:c r="U116" t="str">
        <x:f>IF(A116="","", "LOSS-"&amp;A116&amp;"-L"&amp;TEXT(B116,"00")&amp;"-"&amp;TEXT(C116,"yyyymmdd")&amp;"-"&amp;D116&amp;"-"&amp;E116)</x:f>
      </x:c>
      <x:c r="V116" t="str">
        <x:f>IF(U116="","",IF(COUNTIF($U$5:$U$120,U116)=1,"OK","CHECK"))</x:f>
      </x:c>
      <x:c r="W116" t="str">
        <x:f>IF(A116="","",IF(AND(T116="OK",V116="OK",G116&gt;=0),"OK","CHECK"))</x:f>
      </x:c>
    </x:row>
    <x:row r="117" ht="18" customHeight="1">
      <x:c r="S117" t="str">
        <x:f>IF(A117="","",SUM(H117:R117))</x:f>
      </x:c>
      <x:c r="T117" t="str">
        <x:f>IF(A117="","",IF(AND(MIN(H117:R117)&gt;=0,MAX(H117:R117)&lt;=1,S117&lt;=1),"OK","CHECK"))</x:f>
      </x:c>
      <x:c r="U117" t="str">
        <x:f>IF(A117="","", "LOSS-"&amp;A117&amp;"-L"&amp;TEXT(B117,"00")&amp;"-"&amp;TEXT(C117,"yyyymmdd")&amp;"-"&amp;D117&amp;"-"&amp;E117)</x:f>
      </x:c>
      <x:c r="V117" t="str">
        <x:f>IF(U117="","",IF(COUNTIF($U$5:$U$120,U117)=1,"OK","CHECK"))</x:f>
      </x:c>
      <x:c r="W117" t="str">
        <x:f>IF(A117="","",IF(AND(T117="OK",V117="OK",G117&gt;=0),"OK","CHECK"))</x:f>
      </x:c>
    </x:row>
    <x:row r="118" ht="18" customHeight="1">
      <x:c r="S118" t="str">
        <x:f>IF(A118="","",SUM(H118:R118))</x:f>
      </x:c>
      <x:c r="T118" t="str">
        <x:f>IF(A118="","",IF(AND(MIN(H118:R118)&gt;=0,MAX(H118:R118)&lt;=1,S118&lt;=1),"OK","CHECK"))</x:f>
      </x:c>
      <x:c r="U118" t="str">
        <x:f>IF(A118="","", "LOSS-"&amp;A118&amp;"-L"&amp;TEXT(B118,"00")&amp;"-"&amp;TEXT(C118,"yyyymmdd")&amp;"-"&amp;D118&amp;"-"&amp;E118)</x:f>
      </x:c>
      <x:c r="V118" t="str">
        <x:f>IF(U118="","",IF(COUNTIF($U$5:$U$120,U118)=1,"OK","CHECK"))</x:f>
      </x:c>
      <x:c r="W118" t="str">
        <x:f>IF(A118="","",IF(AND(T118="OK",V118="OK",G118&gt;=0),"OK","CHECK"))</x:f>
      </x:c>
    </x:row>
    <x:row r="119" ht="18" customHeight="1">
      <x:c r="S119" t="str">
        <x:f>IF(A119="","",SUM(H119:R119))</x:f>
      </x:c>
      <x:c r="T119" t="str">
        <x:f>IF(A119="","",IF(AND(MIN(H119:R119)&gt;=0,MAX(H119:R119)&lt;=1,S119&lt;=1),"OK","CHECK"))</x:f>
      </x:c>
      <x:c r="U119" t="str">
        <x:f>IF(A119="","", "LOSS-"&amp;A119&amp;"-L"&amp;TEXT(B119,"00")&amp;"-"&amp;TEXT(C119,"yyyymmdd")&amp;"-"&amp;D119&amp;"-"&amp;E119)</x:f>
      </x:c>
      <x:c r="V119" t="str">
        <x:f>IF(U119="","",IF(COUNTIF($U$5:$U$120,U119)=1,"OK","CHECK"))</x:f>
      </x:c>
      <x:c r="W119" t="str">
        <x:f>IF(A119="","",IF(AND(T119="OK",V119="OK",G119&gt;=0),"OK","CHECK"))</x:f>
      </x:c>
    </x:row>
    <x:row r="120" ht="18" customHeight="1">
      <x:c r="S120" t="str">
        <x:f>IF(A120="","",SUM(H120:R120))</x:f>
      </x:c>
      <x:c r="T120" t="str">
        <x:f>IF(A120="","",IF(AND(MIN(H120:R120)&gt;=0,MAX(H120:R120)&lt;=1,S120&lt;=1),"OK","CHECK"))</x:f>
      </x:c>
      <x:c r="U120" t="str">
        <x:f>IF(A120="","", "LOSS-"&amp;A120&amp;"-L"&amp;TEXT(B120,"00")&amp;"-"&amp;TEXT(C120,"yyyymmdd")&amp;"-"&amp;D120&amp;"-"&amp;E120)</x:f>
      </x:c>
      <x:c r="V120" t="str">
        <x:f>IF(U120="","",IF(COUNTIF($U$5:$U$120,U120)=1,"OK","CHECK"))</x:f>
      </x:c>
      <x:c r="W120" t="str">
        <x:f>IF(A120="","",IF(AND(T120="OK",V120="OK",G120&gt;=0),"OK","CHECK"))</x:f>
      </x:c>
    </x:row>
    <x:row r="121" ht="18" customHeight="1"/>
    <x:row r="122" ht="18" customHeight="1"/>
    <x:row r="123" ht="18" customHeight="1"/>
    <x:row r="124" ht="18" customHeight="1"/>
    <x:row r="125" ht="18" customHeight="1"/>
    <x:row r="126" ht="18" customHeight="1"/>
    <x:row r="127" ht="18" customHeight="1"/>
    <x:row r="128" ht="18" customHeight="1"/>
    <x:row r="129" ht="18" customHeight="1"/>
    <x:row r="130" ht="18" customHeight="1"/>
    <x:row r="131" ht="18" customHeight="1"/>
    <x:row r="132" ht="18" customHeight="1"/>
    <x:row r="133" ht="18" customHeight="1"/>
    <x:row r="134" ht="18" customHeight="1"/>
    <x:row r="135" ht="18" customHeight="1"/>
    <x:row r="136" ht="18" customHeight="1"/>
    <x:row r="137" ht="18" customHeight="1"/>
    <x:row r="138" ht="18" customHeight="1"/>
    <x:row r="139" ht="18" customHeight="1"/>
    <x:row r="140" ht="18" customHeight="1"/>
    <x:row r="141" ht="18" customHeight="1"/>
    <x:row r="142" ht="18" customHeight="1"/>
    <x:row r="143" ht="18" customHeight="1"/>
    <x:row r="144" ht="18" customHeight="1"/>
    <x:row r="145" ht="18" customHeight="1"/>
    <x:row r="146" ht="18" customHeight="1"/>
    <x:row r="147" ht="18" customHeight="1"/>
    <x:row r="148" ht="18" customHeight="1"/>
    <x:row r="149" ht="18" customHeight="1"/>
    <x:row r="150" ht="18" customHeight="1"/>
    <x:row r="151" ht="18" customHeight="1"/>
    <x:row r="152" ht="18" customHeight="1"/>
    <x:row r="153" ht="18" customHeight="1"/>
    <x:row r="154" ht="18" customHeight="1"/>
    <x:row r="155" ht="18" customHeight="1"/>
    <x:row r="156" ht="18" customHeight="1"/>
    <x:row r="157" ht="18" customHeight="1"/>
    <x:row r="158" ht="18" customHeight="1"/>
    <x:row r="159" ht="18" customHeight="1"/>
    <x:row r="160" ht="18" customHeight="1"/>
    <x:row r="161" ht="18" customHeight="1"/>
    <x:row r="162" ht="18" customHeight="1"/>
    <x:row r="163" ht="18" customHeight="1"/>
    <x:row r="164" ht="18" customHeight="1"/>
    <x:row r="165" ht="18" customHeight="1"/>
    <x:row r="166" ht="18" customHeight="1"/>
    <x:row r="167" ht="18" customHeight="1"/>
    <x:row r="168" ht="18" customHeight="1"/>
    <x:row r="169" ht="18" customHeight="1"/>
    <x:row r="170" ht="18" customHeight="1"/>
    <x:row r="171" ht="18" customHeight="1"/>
    <x:row r="172" ht="18" customHeight="1"/>
    <x:row r="173" ht="18" customHeight="1"/>
    <x:row r="174" ht="18" customHeight="1"/>
    <x:row r="175" ht="18" customHeight="1"/>
    <x:row r="176" ht="18" customHeight="1"/>
    <x:row r="177" ht="18" customHeight="1"/>
    <x:row r="178" ht="18" customHeight="1"/>
    <x:row r="179" ht="18" customHeight="1"/>
    <x:row r="180" ht="18" customHeight="1"/>
    <x:row r="181" ht="18" customHeight="1"/>
    <x:row r="182" ht="18" customHeight="1"/>
    <x:row r="183" ht="18" customHeight="1"/>
    <x:row r="184" ht="18" customHeight="1"/>
    <x:row r="185" ht="18" customHeight="1"/>
    <x:row r="186" ht="18" customHeight="1"/>
    <x:row r="187" ht="18" customHeight="1"/>
    <x:row r="188" ht="18" customHeight="1"/>
    <x:row r="189" ht="18" customHeight="1"/>
    <x:row r="190" ht="18" customHeight="1"/>
    <x:row r="191" ht="18" customHeight="1"/>
    <x:row r="192" ht="18" customHeight="1"/>
    <x:row r="193" ht="18" customHeight="1"/>
    <x:row r="194" ht="18" customHeight="1"/>
    <x:row r="195" ht="18" customHeight="1"/>
    <x:row r="196" ht="18" customHeight="1"/>
    <x:row r="197" ht="18" customHeight="1"/>
    <x:row r="198" ht="18" customHeight="1"/>
    <x:row r="199" ht="18" customHeight="1"/>
    <x:row r="200" ht="18" customHeight="1"/>
    <x:row r="201" ht="18" customHeight="1"/>
    <x:row r="202" ht="18" customHeight="1"/>
    <x:row r="203" ht="18" customHeight="1"/>
    <x:row r="204" ht="18" customHeight="1"/>
    <x:row r="205" ht="18" customHeight="1"/>
    <x:row r="206" ht="18" customHeight="1"/>
    <x:row r="207" ht="18" customHeight="1"/>
    <x:row r="208" ht="18" customHeight="1"/>
    <x:row r="209" ht="18" customHeight="1"/>
    <x:row r="210" ht="18" customHeight="1"/>
    <x:row r="211" ht="18" customHeight="1"/>
    <x:row r="212" ht="18" customHeight="1"/>
    <x:row r="213" ht="18" customHeight="1"/>
    <x:row r="214" ht="18" customHeight="1"/>
    <x:row r="215" ht="18" customHeight="1"/>
    <x:row r="216" ht="18" customHeight="1"/>
    <x:row r="217" ht="18" customHeight="1"/>
    <x:row r="218" ht="18" customHeight="1"/>
    <x:row r="219" ht="18" customHeight="1"/>
    <x:row r="220" ht="18" customHeight="1"/>
    <x:row r="221" ht="18" customHeight="1"/>
    <x:row r="222" ht="18" customHeight="1"/>
    <x:row r="223" ht="18" customHeight="1"/>
    <x:row r="224" ht="18" customHeight="1"/>
    <x:row r="225" ht="18" customHeight="1"/>
    <x:row r="226" ht="18" customHeight="1"/>
    <x:row r="227" ht="18" customHeight="1"/>
    <x:row r="228" ht="18" customHeight="1"/>
    <x:row r="229" ht="18" customHeight="1"/>
    <x:row r="230" ht="18" customHeight="1"/>
    <x:row r="231" ht="18" customHeight="1"/>
    <x:row r="232" ht="18" customHeight="1"/>
    <x:row r="233" ht="18" customHeight="1"/>
    <x:row r="234" ht="18" customHeight="1"/>
    <x:row r="235" ht="18" customHeight="1"/>
    <x:row r="236" ht="18" customHeight="1"/>
    <x:row r="237" ht="18" customHeight="1"/>
    <x:row r="238" ht="18" customHeight="1"/>
    <x:row r="239" ht="18" customHeight="1"/>
    <x:row r="240" ht="18" customHeight="1"/>
    <x:row r="241" ht="18" customHeight="1"/>
    <x:row r="242" ht="18" customHeight="1"/>
    <x:row r="243" ht="18" customHeight="1"/>
    <x:row r="244" ht="18" customHeight="1"/>
    <x:row r="245" ht="18" customHeight="1"/>
    <x:row r="246" ht="18" customHeight="1"/>
    <x:row r="247" ht="18" customHeight="1"/>
    <x:row r="248" ht="18" customHeight="1"/>
    <x:row r="249" ht="18" customHeight="1"/>
    <x:row r="250" ht="18" customHeight="1"/>
    <x:row r="251" ht="18" customHeight="1"/>
    <x:row r="252" ht="18" customHeight="1"/>
    <x:row r="253" ht="18" customHeight="1"/>
    <x:row r="254" ht="18" customHeight="1"/>
    <x:row r="255" ht="18" customHeight="1"/>
    <x:row r="256" ht="18" customHeight="1"/>
    <x:row r="257" ht="18" customHeight="1"/>
    <x:row r="258" ht="18" customHeight="1"/>
    <x:row r="259" ht="18" customHeight="1"/>
    <x:row r="260" ht="18" customHeight="1"/>
    <x:row r="261" ht="18" customHeight="1"/>
    <x:row r="262" ht="18" customHeight="1"/>
    <x:row r="263" ht="18" customHeight="1"/>
    <x:row r="264" ht="18" customHeight="1"/>
    <x:row r="265" ht="18" customHeight="1"/>
    <x:row r="266" ht="18" customHeight="1"/>
    <x:row r="267" ht="18" customHeight="1"/>
    <x:row r="268" ht="18" customHeight="1"/>
    <x:row r="269" ht="18" customHeight="1"/>
    <x:row r="270" ht="18" customHeight="1"/>
    <x:row r="271" ht="18" customHeight="1"/>
    <x:row r="272" ht="18" customHeight="1"/>
    <x:row r="273" ht="18" customHeight="1"/>
    <x:row r="274" ht="18" customHeight="1"/>
    <x:row r="275" ht="18" customHeight="1"/>
    <x:row r="276" ht="18" customHeight="1"/>
    <x:row r="277" ht="18" customHeight="1"/>
    <x:row r="278" ht="18" customHeight="1"/>
    <x:row r="279" ht="18" customHeight="1"/>
    <x:row r="280" ht="18" customHeight="1"/>
    <x:row r="281" ht="18" customHeight="1"/>
    <x:row r="282" ht="18" customHeight="1"/>
    <x:row r="283" ht="18" customHeight="1"/>
    <x:row r="284" ht="18" customHeight="1"/>
    <x:row r="285" ht="18" customHeight="1"/>
    <x:row r="286" ht="18" customHeight="1"/>
    <x:row r="287" ht="18" customHeight="1"/>
    <x:row r="288" ht="18" customHeight="1"/>
    <x:row r="289" ht="18" customHeight="1"/>
    <x:row r="290" ht="18" customHeight="1"/>
    <x:row r="291" ht="18" customHeight="1"/>
    <x:row r="292" ht="18" customHeight="1"/>
    <x:row r="293" ht="18" customHeight="1"/>
    <x:row r="294" ht="18" customHeight="1"/>
    <x:row r="295" ht="18" customHeight="1"/>
    <x:row r="296" ht="18" customHeight="1"/>
    <x:row r="297" ht="18" customHeight="1"/>
    <x:row r="298" ht="18" customHeight="1"/>
    <x:row r="299" ht="18" customHeight="1"/>
    <x:row r="300" ht="18" customHeight="1"/>
    <x:row r="301" ht="18" customHeight="1"/>
    <x:row r="302" ht="18" customHeight="1"/>
    <x:row r="303" ht="18" customHeight="1"/>
    <x:row r="304" ht="18" customHeight="1"/>
    <x:row r="305" ht="18" customHeight="1"/>
    <x:row r="306" ht="18" customHeight="1"/>
    <x:row r="307" ht="18" customHeight="1"/>
    <x:row r="308" ht="18" customHeight="1"/>
    <x:row r="309" ht="18" customHeight="1"/>
    <x:row r="310" ht="18" customHeight="1"/>
    <x:row r="311" ht="18" customHeight="1"/>
    <x:row r="312" ht="18" customHeight="1"/>
    <x:row r="313" ht="18" customHeight="1"/>
    <x:row r="314" ht="18" customHeight="1"/>
    <x:row r="315" ht="18" customHeight="1"/>
    <x:row r="316" ht="18" customHeight="1"/>
    <x:row r="317" ht="18" customHeight="1"/>
    <x:row r="318" ht="18" customHeight="1"/>
    <x:row r="319" ht="18" customHeight="1"/>
    <x:row r="320" ht="18" customHeight="1"/>
    <x:row r="321" ht="18" customHeight="1"/>
    <x:row r="322" ht="18" customHeight="1"/>
    <x:row r="323" ht="18" customHeight="1"/>
    <x:row r="324" ht="18" customHeight="1"/>
    <x:row r="325" ht="18" customHeight="1"/>
    <x:row r="326" ht="18" customHeight="1"/>
    <x:row r="327" ht="18" customHeight="1"/>
    <x:row r="328" ht="18" customHeight="1"/>
    <x:row r="329" ht="18" customHeight="1"/>
    <x:row r="330" ht="18" customHeight="1"/>
    <x:row r="331" ht="18" customHeight="1"/>
    <x:row r="332" ht="18" customHeight="1"/>
    <x:row r="333" ht="18" customHeight="1"/>
    <x:row r="334" ht="18" customHeight="1"/>
    <x:row r="335" ht="18" customHeight="1"/>
    <x:row r="336" ht="18" customHeight="1"/>
    <x:row r="337" ht="18" customHeight="1"/>
    <x:row r="338" ht="18" customHeight="1"/>
    <x:row r="339" ht="18" customHeight="1"/>
    <x:row r="340" ht="18" customHeight="1"/>
    <x:row r="341" ht="18" customHeight="1"/>
    <x:row r="342" ht="18" customHeight="1"/>
    <x:row r="343" ht="18" customHeight="1"/>
    <x:row r="344" ht="18" customHeight="1"/>
    <x:row r="345" ht="18" customHeight="1"/>
    <x:row r="346" ht="18" customHeight="1"/>
    <x:row r="347" ht="18" customHeight="1"/>
    <x:row r="348" ht="18" customHeight="1"/>
    <x:row r="349" ht="18" customHeight="1"/>
    <x:row r="350" ht="18" customHeight="1"/>
    <x:row r="351" ht="18" customHeight="1"/>
    <x:row r="352" ht="18" customHeight="1"/>
    <x:row r="353" ht="18" customHeight="1"/>
    <x:row r="354" ht="18" customHeight="1"/>
    <x:row r="355" ht="18" customHeight="1"/>
    <x:row r="356" ht="18" customHeight="1"/>
    <x:row r="357" ht="18" customHeight="1"/>
    <x:row r="358" ht="18" customHeight="1"/>
    <x:row r="359" ht="18" customHeight="1"/>
    <x:row r="360" ht="18" customHeight="1"/>
    <x:row r="361" ht="18" customHeight="1"/>
    <x:row r="362" ht="18" customHeight="1"/>
    <x:row r="363" ht="18" customHeight="1"/>
    <x:row r="364" ht="18" customHeight="1"/>
    <x:row r="365" ht="18" customHeight="1"/>
    <x:row r="366" ht="18" customHeight="1"/>
    <x:row r="367" ht="18" customHeight="1"/>
    <x:row r="368" ht="18" customHeight="1"/>
    <x:row r="369" ht="18" customHeight="1"/>
    <x:row r="370" ht="18" customHeight="1"/>
    <x:row r="371" ht="18" customHeight="1"/>
    <x:row r="372" ht="18" customHeight="1"/>
    <x:row r="373" ht="18" customHeight="1"/>
    <x:row r="374" ht="18" customHeight="1"/>
    <x:row r="375" ht="18" customHeight="1"/>
    <x:row r="376" ht="18" customHeight="1"/>
    <x:row r="377" ht="18" customHeight="1"/>
    <x:row r="378" ht="18" customHeight="1"/>
    <x:row r="379" ht="18" customHeight="1"/>
    <x:row r="380" ht="18" customHeight="1"/>
    <x:row r="381" ht="18" customHeight="1"/>
    <x:row r="382" ht="18" customHeight="1"/>
    <x:row r="383" ht="18" customHeight="1"/>
    <x:row r="384" ht="18" customHeight="1"/>
    <x:row r="385" ht="18" customHeight="1"/>
    <x:row r="386" ht="18" customHeight="1"/>
    <x:row r="387" ht="18" customHeight="1"/>
    <x:row r="388" ht="18" customHeight="1"/>
    <x:row r="389" ht="18" customHeight="1"/>
    <x:row r="390" ht="18" customHeight="1"/>
    <x:row r="391" ht="18" customHeight="1"/>
    <x:row r="392" ht="18" customHeight="1"/>
    <x:row r="393" ht="18" customHeight="1"/>
    <x:row r="394" ht="18" customHeight="1"/>
    <x:row r="395" ht="18" customHeight="1"/>
    <x:row r="396" ht="18" customHeight="1"/>
    <x:row r="397" ht="18" customHeight="1"/>
    <x:row r="398" ht="18" customHeight="1"/>
    <x:row r="399" ht="18" customHeight="1"/>
    <x:row r="400" ht="18" customHeight="1"/>
    <x:row r="401" ht="18" customHeight="1"/>
    <x:row r="402" ht="18" customHeight="1"/>
    <x:row r="403" ht="18" customHeight="1"/>
    <x:row r="404" ht="18" customHeight="1"/>
    <x:row r="405" ht="18" customHeight="1"/>
    <x:row r="406" ht="18" customHeight="1"/>
    <x:row r="407" ht="18" customHeight="1"/>
    <x:row r="408" ht="18" customHeight="1"/>
    <x:row r="409" ht="18" customHeight="1"/>
    <x:row r="410" ht="18" customHeight="1"/>
    <x:row r="411" ht="18" customHeight="1"/>
    <x:row r="412" ht="18" customHeight="1"/>
    <x:row r="413" ht="18" customHeight="1"/>
    <x:row r="414" ht="18" customHeight="1"/>
    <x:row r="415" ht="18" customHeight="1"/>
    <x:row r="416" ht="18" customHeight="1"/>
    <x:row r="417" ht="18" customHeight="1"/>
    <x:row r="418" ht="18" customHeight="1"/>
    <x:row r="419" ht="18" customHeight="1"/>
    <x:row r="420" ht="18" customHeight="1"/>
    <x:row r="421" ht="18" customHeight="1"/>
    <x:row r="422" ht="18" customHeight="1"/>
    <x:row r="423" ht="18" customHeight="1"/>
    <x:row r="424" ht="18" customHeight="1"/>
    <x:row r="425" ht="18" customHeight="1"/>
    <x:row r="426" ht="18" customHeight="1"/>
    <x:row r="427" ht="18" customHeight="1"/>
    <x:row r="428" ht="18" customHeight="1"/>
    <x:row r="429" ht="18" customHeight="1"/>
    <x:row r="430" ht="18" customHeight="1"/>
    <x:row r="431" ht="18" customHeight="1"/>
    <x:row r="432" ht="18" customHeight="1"/>
    <x:row r="433" ht="18" customHeight="1"/>
    <x:row r="434" ht="18" customHeight="1"/>
    <x:row r="435" ht="18" customHeight="1"/>
    <x:row r="436" ht="18" customHeight="1"/>
    <x:row r="437" ht="18" customHeight="1"/>
    <x:row r="438" ht="18" customHeight="1"/>
    <x:row r="439" ht="18" customHeight="1"/>
    <x:row r="440" ht="18" customHeight="1"/>
    <x:row r="441" ht="18" customHeight="1"/>
    <x:row r="442" ht="18" customHeight="1"/>
    <x:row r="443" ht="18" customHeight="1"/>
    <x:row r="444" ht="18" customHeight="1"/>
    <x:row r="445" ht="18" customHeight="1"/>
    <x:row r="446" ht="18" customHeight="1"/>
    <x:row r="447" ht="18" customHeight="1"/>
    <x:row r="448" ht="18" customHeight="1"/>
    <x:row r="449" ht="18" customHeight="1"/>
    <x:row r="450" ht="18" customHeight="1"/>
    <x:row r="451" ht="18" customHeight="1"/>
    <x:row r="452" ht="18" customHeight="1"/>
    <x:row r="453" ht="18" customHeight="1"/>
    <x:row r="454" ht="18" customHeight="1"/>
    <x:row r="455" ht="18" customHeight="1"/>
    <x:row r="456" ht="18" customHeight="1"/>
    <x:row r="457" ht="18" customHeight="1"/>
    <x:row r="458" ht="18" customHeight="1"/>
    <x:row r="459" ht="18" customHeight="1"/>
    <x:row r="460" ht="18" customHeight="1"/>
    <x:row r="461" ht="18" customHeight="1"/>
    <x:row r="462" ht="18" customHeight="1"/>
    <x:row r="463" ht="18" customHeight="1"/>
    <x:row r="464" ht="18" customHeight="1"/>
    <x:row r="465" ht="18" customHeight="1"/>
    <x:row r="466" ht="18" customHeight="1"/>
    <x:row r="467" ht="18" customHeight="1"/>
    <x:row r="468" ht="18" customHeight="1"/>
    <x:row r="469" ht="18" customHeight="1"/>
    <x:row r="470" ht="18" customHeight="1"/>
    <x:row r="471" ht="18" customHeight="1"/>
    <x:row r="472" ht="18" customHeight="1"/>
    <x:row r="473" ht="18" customHeight="1"/>
    <x:row r="474" ht="18" customHeight="1"/>
    <x:row r="475" ht="18" customHeight="1"/>
    <x:row r="476" ht="18" customHeight="1"/>
    <x:row r="477" ht="18" customHeight="1"/>
    <x:row r="478" ht="18" customHeight="1"/>
    <x:row r="479" ht="18" customHeight="1"/>
    <x:row r="480" ht="18" customHeight="1"/>
    <x:row r="481" ht="18" customHeight="1"/>
    <x:row r="482" ht="18" customHeight="1"/>
    <x:row r="483" ht="18" customHeight="1"/>
    <x:row r="484" ht="18" customHeight="1"/>
    <x:row r="485" ht="18" customHeight="1"/>
    <x:row r="486" ht="18" customHeight="1"/>
    <x:row r="487" ht="18" customHeight="1"/>
    <x:row r="488" ht="18" customHeight="1"/>
    <x:row r="489" ht="18" customHeight="1"/>
    <x:row r="490" ht="18" customHeight="1"/>
    <x:row r="491" ht="18" customHeight="1"/>
    <x:row r="492" ht="18" customHeight="1"/>
    <x:row r="493" ht="18" customHeight="1"/>
    <x:row r="494" ht="18" customHeight="1"/>
    <x:row r="495" ht="18" customHeight="1"/>
    <x:row r="496" ht="18" customHeight="1"/>
    <x:row r="497" ht="18" customHeight="1"/>
    <x:row r="498" ht="18" customHeight="1"/>
    <x:row r="499" ht="18" customHeight="1"/>
    <x:row r="500" ht="18" customHeight="1"/>
    <x:row r="501" ht="18" customHeight="1"/>
    <x:row r="502" ht="18" customHeight="1"/>
    <x:row r="503" ht="18" customHeight="1"/>
    <x:row r="504" ht="18" customHeight="1"/>
    <x:row r="505" ht="18" customHeight="1"/>
    <x:row r="506" ht="18" customHeight="1"/>
    <x:row r="507" ht="18" customHeight="1"/>
    <x:row r="508" ht="18" customHeight="1"/>
    <x:row r="509" ht="18" customHeight="1"/>
    <x:row r="510" ht="18" customHeight="1"/>
    <x:row r="511" ht="18" customHeight="1"/>
    <x:row r="512" ht="18" customHeight="1"/>
    <x:row r="513" ht="18" customHeight="1"/>
    <x:row r="514" ht="18" customHeight="1"/>
    <x:row r="515" ht="18" customHeight="1"/>
    <x:row r="516" ht="18" customHeight="1"/>
    <x:row r="517" ht="18" customHeight="1"/>
    <x:row r="518" ht="18" customHeight="1"/>
    <x:row r="519" ht="18" customHeight="1"/>
    <x:row r="520" ht="18" customHeight="1"/>
    <x:row r="521" ht="18" customHeight="1"/>
    <x:row r="522" ht="18" customHeight="1"/>
    <x:row r="523" ht="18" customHeight="1"/>
    <x:row r="524" ht="18" customHeight="1"/>
    <x:row r="525" ht="18" customHeight="1"/>
    <x:row r="526" ht="18" customHeight="1"/>
    <x:row r="527" ht="18" customHeight="1"/>
    <x:row r="528" ht="18" customHeight="1"/>
    <x:row r="529" ht="18" customHeight="1"/>
    <x:row r="530" ht="18" customHeight="1"/>
    <x:row r="531" ht="18" customHeight="1"/>
    <x:row r="532" ht="18" customHeight="1"/>
    <x:row r="533" ht="18" customHeight="1"/>
    <x:row r="534" ht="18" customHeight="1"/>
    <x:row r="535" ht="18" customHeight="1"/>
    <x:row r="536" ht="18" customHeight="1"/>
    <x:row r="537" ht="18" customHeight="1"/>
    <x:row r="538" ht="18" customHeight="1"/>
    <x:row r="539" ht="18" customHeight="1"/>
    <x:row r="540" ht="18" customHeight="1"/>
    <x:row r="541" ht="18" customHeight="1"/>
    <x:row r="542" ht="18" customHeight="1"/>
    <x:row r="543" ht="18" customHeight="1"/>
    <x:row r="544" ht="18" customHeight="1"/>
    <x:row r="545" ht="18" customHeight="1"/>
    <x:row r="546" ht="18" customHeight="1"/>
    <x:row r="547" ht="18" customHeight="1"/>
    <x:row r="548" ht="18" customHeight="1"/>
    <x:row r="549" ht="18" customHeight="1"/>
    <x:row r="550" ht="18" customHeight="1"/>
    <x:row r="551" ht="18" customHeight="1"/>
    <x:row r="552" ht="18" customHeight="1"/>
    <x:row r="553" ht="18" customHeight="1"/>
    <x:row r="554" ht="18" customHeight="1"/>
    <x:row r="555" ht="18" customHeight="1"/>
    <x:row r="556" ht="18" customHeight="1"/>
    <x:row r="557" ht="18" customHeight="1"/>
    <x:row r="558" ht="18" customHeight="1"/>
    <x:row r="559" ht="18" customHeight="1"/>
    <x:row r="560" ht="18" customHeight="1"/>
    <x:row r="561" ht="18" customHeight="1"/>
    <x:row r="562" ht="18" customHeight="1"/>
    <x:row r="563" ht="18" customHeight="1"/>
    <x:row r="564" ht="18" customHeight="1"/>
    <x:row r="565" ht="18" customHeight="1"/>
    <x:row r="566" ht="18" customHeight="1"/>
    <x:row r="567" ht="18" customHeight="1"/>
    <x:row r="568" ht="18" customHeight="1"/>
    <x:row r="569" ht="18" customHeight="1"/>
    <x:row r="570" ht="18" customHeight="1"/>
    <x:row r="571" ht="18" customHeight="1"/>
    <x:row r="572" ht="18" customHeight="1"/>
    <x:row r="573" ht="18" customHeight="1"/>
    <x:row r="574" ht="18" customHeight="1"/>
    <x:row r="575" ht="18" customHeight="1"/>
    <x:row r="576" ht="18" customHeight="1"/>
    <x:row r="577" ht="18" customHeight="1"/>
    <x:row r="578" ht="18" customHeight="1"/>
    <x:row r="579" ht="18" customHeight="1"/>
    <x:row r="580" ht="18" customHeight="1"/>
    <x:row r="581" ht="18" customHeight="1"/>
    <x:row r="582" ht="18" customHeight="1"/>
    <x:row r="583" ht="18" customHeight="1"/>
    <x:row r="584" ht="18" customHeight="1"/>
    <x:row r="585" ht="18" customHeight="1"/>
    <x:row r="586" ht="18" customHeight="1"/>
    <x:row r="587" ht="18" customHeight="1"/>
    <x:row r="588" ht="18" customHeight="1"/>
    <x:row r="589" ht="18" customHeight="1"/>
    <x:row r="590" ht="18" customHeight="1"/>
    <x:row r="591" ht="18" customHeight="1"/>
    <x:row r="592" ht="18" customHeight="1"/>
    <x:row r="593" ht="18" customHeight="1"/>
    <x:row r="594" ht="18" customHeight="1"/>
    <x:row r="595" ht="18" customHeight="1"/>
    <x:row r="596" ht="18" customHeight="1"/>
    <x:row r="597" ht="18" customHeight="1"/>
    <x:row r="598" ht="18" customHeight="1"/>
    <x:row r="599" ht="18" customHeight="1"/>
    <x:row r="600" ht="18" customHeight="1"/>
    <x:row r="601" ht="18" customHeight="1"/>
    <x:row r="602" ht="18" customHeight="1"/>
    <x:row r="603" ht="18" customHeight="1"/>
    <x:row r="604" ht="18" customHeight="1"/>
    <x:row r="605" ht="18" customHeight="1"/>
    <x:row r="606" ht="18" customHeight="1"/>
    <x:row r="607" ht="18" customHeight="1"/>
    <x:row r="608" ht="18" customHeight="1"/>
    <x:row r="609" ht="18" customHeight="1"/>
    <x:row r="610" ht="18" customHeight="1"/>
    <x:row r="611" ht="18" customHeight="1"/>
    <x:row r="612" ht="18" customHeight="1"/>
    <x:row r="613" ht="18" customHeight="1"/>
    <x:row r="614" ht="18" customHeight="1"/>
    <x:row r="615" ht="18" customHeight="1"/>
    <x:row r="616" ht="18" customHeight="1"/>
    <x:row r="617" ht="18" customHeight="1"/>
    <x:row r="618" ht="18" customHeight="1"/>
    <x:row r="619" ht="18" customHeight="1"/>
    <x:row r="620" ht="18" customHeight="1"/>
    <x:row r="621" ht="18" customHeight="1"/>
    <x:row r="622" ht="18" customHeight="1"/>
    <x:row r="623" ht="18" customHeight="1"/>
    <x:row r="624" ht="18" customHeight="1"/>
    <x:row r="625" ht="18" customHeight="1"/>
    <x:row r="626" ht="18" customHeight="1"/>
    <x:row r="627" ht="18" customHeight="1"/>
    <x:row r="628" ht="18" customHeight="1"/>
    <x:row r="629" ht="18" customHeight="1"/>
    <x:row r="630" ht="18" customHeight="1"/>
    <x:row r="631" ht="18" customHeight="1"/>
    <x:row r="632" ht="18" customHeight="1"/>
    <x:row r="633" ht="18" customHeight="1"/>
    <x:row r="634" ht="18" customHeight="1"/>
    <x:row r="635" ht="18" customHeight="1"/>
    <x:row r="636" ht="18" customHeight="1"/>
    <x:row r="637" ht="18" customHeight="1"/>
    <x:row r="638" ht="18" customHeight="1"/>
    <x:row r="639" ht="18" customHeight="1"/>
    <x:row r="640" ht="18" customHeight="1"/>
    <x:row r="641" ht="18" customHeight="1"/>
    <x:row r="642" ht="18" customHeight="1"/>
    <x:row r="643" ht="18" customHeight="1"/>
    <x:row r="644" ht="18" customHeight="1"/>
    <x:row r="645" ht="18" customHeight="1"/>
    <x:row r="646" ht="18" customHeight="1"/>
    <x:row r="647" ht="18" customHeight="1"/>
    <x:row r="648" ht="18" customHeight="1"/>
    <x:row r="649" ht="18" customHeight="1"/>
    <x:row r="650" ht="18" customHeight="1"/>
    <x:row r="651" ht="18" customHeight="1"/>
    <x:row r="652" ht="18" customHeight="1"/>
    <x:row r="653" ht="18" customHeight="1"/>
    <x:row r="654" ht="18" customHeight="1"/>
    <x:row r="655" ht="18" customHeight="1"/>
    <x:row r="656" ht="18" customHeight="1"/>
    <x:row r="657" ht="18" customHeight="1"/>
    <x:row r="658" ht="18" customHeight="1"/>
    <x:row r="659" ht="18" customHeight="1"/>
    <x:row r="660" ht="18" customHeight="1"/>
    <x:row r="661" ht="18" customHeight="1"/>
    <x:row r="662" ht="18" customHeight="1"/>
    <x:row r="663" ht="18" customHeight="1"/>
    <x:row r="664" ht="18" customHeight="1"/>
    <x:row r="665" ht="18" customHeight="1"/>
    <x:row r="666" ht="18" customHeight="1"/>
    <x:row r="667" ht="18" customHeight="1"/>
    <x:row r="668" ht="18" customHeight="1"/>
    <x:row r="669" ht="18" customHeight="1"/>
    <x:row r="670" ht="18" customHeight="1"/>
    <x:row r="671" ht="18" customHeight="1"/>
    <x:row r="672" ht="18" customHeight="1"/>
    <x:row r="673" ht="18" customHeight="1"/>
    <x:row r="674" ht="18" customHeight="1"/>
    <x:row r="675" ht="18" customHeight="1"/>
    <x:row r="676" ht="18" customHeight="1"/>
    <x:row r="677" ht="18" customHeight="1"/>
    <x:row r="678" ht="18" customHeight="1"/>
    <x:row r="679" ht="18" customHeight="1"/>
    <x:row r="680" ht="18" customHeight="1"/>
    <x:row r="681" ht="18" customHeight="1"/>
    <x:row r="682" ht="18" customHeight="1"/>
    <x:row r="683" ht="18" customHeight="1"/>
    <x:row r="684" ht="18" customHeight="1"/>
    <x:row r="685" ht="18" customHeight="1"/>
    <x:row r="686" ht="18" customHeight="1"/>
    <x:row r="687" ht="18" customHeight="1"/>
    <x:row r="688" ht="18" customHeight="1"/>
    <x:row r="689" ht="18" customHeight="1"/>
    <x:row r="690" ht="18" customHeight="1"/>
    <x:row r="691" ht="18" customHeight="1"/>
    <x:row r="692" ht="18" customHeight="1"/>
    <x:row r="693" ht="18" customHeight="1"/>
    <x:row r="694" ht="18" customHeight="1"/>
    <x:row r="695" ht="18" customHeight="1"/>
    <x:row r="696" ht="18" customHeight="1"/>
    <x:row r="697" ht="18" customHeight="1"/>
    <x:row r="698" ht="18" customHeight="1"/>
    <x:row r="699" ht="18" customHeight="1"/>
    <x:row r="700" ht="18" customHeight="1"/>
    <x:row r="701" ht="18" customHeight="1"/>
    <x:row r="702" ht="18" customHeight="1"/>
    <x:row r="703" ht="18" customHeight="1"/>
    <x:row r="704" ht="18" customHeight="1"/>
    <x:row r="705" ht="18" customHeight="1"/>
    <x:row r="706" ht="18" customHeight="1"/>
    <x:row r="707" ht="18" customHeight="1"/>
    <x:row r="708" ht="18" customHeight="1"/>
    <x:row r="709" ht="18" customHeight="1"/>
    <x:row r="710" ht="18" customHeight="1"/>
    <x:row r="711" ht="18" customHeight="1"/>
    <x:row r="712" ht="18" customHeight="1"/>
    <x:row r="713" ht="18" customHeight="1"/>
    <x:row r="714" ht="18" customHeight="1"/>
    <x:row r="715" ht="18" customHeight="1"/>
    <x:row r="716" ht="18" customHeight="1"/>
    <x:row r="717" ht="18" customHeight="1"/>
    <x:row r="718" ht="18" customHeight="1"/>
    <x:row r="719" ht="18" customHeight="1"/>
    <x:row r="720" ht="18" customHeight="1"/>
    <x:row r="721" ht="18" customHeight="1"/>
    <x:row r="722" ht="18" customHeight="1"/>
    <x:row r="723" ht="18" customHeight="1"/>
    <x:row r="724" ht="18" customHeight="1"/>
    <x:row r="725" ht="18" customHeight="1"/>
    <x:row r="726" ht="18" customHeight="1"/>
    <x:row r="727" ht="18" customHeight="1"/>
    <x:row r="728" ht="18" customHeight="1"/>
    <x:row r="729" ht="18" customHeight="1"/>
    <x:row r="730" ht="18" customHeight="1"/>
    <x:row r="731" ht="18" customHeight="1"/>
    <x:row r="732" ht="18" customHeight="1"/>
    <x:row r="733" ht="18" customHeight="1"/>
    <x:row r="734" ht="18" customHeight="1"/>
    <x:row r="735" ht="18" customHeight="1"/>
    <x:row r="736" ht="18" customHeight="1"/>
    <x:row r="737" ht="18" customHeight="1"/>
    <x:row r="738" ht="18" customHeight="1"/>
    <x:row r="739" ht="18" customHeight="1"/>
    <x:row r="740" ht="18" customHeight="1"/>
    <x:row r="741" ht="18" customHeight="1"/>
    <x:row r="742" ht="18" customHeight="1"/>
    <x:row r="743" ht="18" customHeight="1"/>
    <x:row r="744" ht="18" customHeight="1"/>
    <x:row r="745" ht="18" customHeight="1"/>
    <x:row r="746" ht="18" customHeight="1"/>
    <x:row r="747" ht="18" customHeight="1"/>
    <x:row r="748" ht="18" customHeight="1"/>
    <x:row r="749" ht="18" customHeight="1"/>
    <x:row r="750" ht="18" customHeight="1"/>
    <x:row r="751" ht="18" customHeight="1"/>
    <x:row r="752" ht="18" customHeight="1"/>
    <x:row r="753" ht="18" customHeight="1"/>
    <x:row r="754" ht="18" customHeight="1"/>
    <x:row r="755" ht="18" customHeight="1"/>
    <x:row r="756" ht="18" customHeight="1"/>
    <x:row r="757" ht="18" customHeight="1"/>
    <x:row r="758" ht="18" customHeight="1"/>
    <x:row r="759" ht="18" customHeight="1"/>
    <x:row r="760" ht="18" customHeight="1"/>
    <x:row r="761" ht="18" customHeight="1"/>
    <x:row r="762" ht="18" customHeight="1"/>
    <x:row r="763" ht="18" customHeight="1"/>
    <x:row r="764" ht="18" customHeight="1"/>
    <x:row r="765" ht="18" customHeight="1"/>
    <x:row r="766" ht="18" customHeight="1"/>
    <x:row r="767" ht="18" customHeight="1"/>
    <x:row r="768" ht="18" customHeight="1"/>
    <x:row r="769" ht="18" customHeight="1"/>
    <x:row r="770" ht="18" customHeight="1"/>
    <x:row r="771" ht="18" customHeight="1"/>
    <x:row r="772" ht="18" customHeight="1"/>
    <x:row r="773" ht="18" customHeight="1"/>
    <x:row r="774" ht="18" customHeight="1"/>
    <x:row r="775" ht="18" customHeight="1"/>
    <x:row r="776" ht="18" customHeight="1"/>
    <x:row r="777" ht="18" customHeight="1"/>
    <x:row r="778" ht="18" customHeight="1"/>
    <x:row r="779" ht="18" customHeight="1"/>
    <x:row r="780" ht="18" customHeight="1"/>
    <x:row r="781" ht="18" customHeight="1"/>
    <x:row r="782" ht="18" customHeight="1"/>
    <x:row r="783" ht="18" customHeight="1"/>
    <x:row r="784" ht="18" customHeight="1"/>
    <x:row r="785" ht="18" customHeight="1"/>
    <x:row r="786" ht="18" customHeight="1"/>
    <x:row r="787" ht="18" customHeight="1"/>
    <x:row r="788" ht="18" customHeight="1"/>
    <x:row r="789" ht="18" customHeight="1"/>
    <x:row r="790" ht="18" customHeight="1"/>
    <x:row r="791" ht="18" customHeight="1"/>
    <x:row r="792" ht="18" customHeight="1"/>
    <x:row r="793" ht="18" customHeight="1"/>
    <x:row r="794" ht="18" customHeight="1"/>
    <x:row r="795" ht="18" customHeight="1"/>
    <x:row r="796" ht="18" customHeight="1"/>
    <x:row r="797" ht="18" customHeight="1"/>
    <x:row r="798" ht="18" customHeight="1"/>
    <x:row r="799" ht="18" customHeight="1"/>
    <x:row r="800" ht="18" customHeight="1"/>
    <x:row r="801" ht="18" customHeight="1"/>
    <x:row r="802" ht="18" customHeight="1"/>
    <x:row r="803" ht="18" customHeight="1"/>
    <x:row r="804" ht="18" customHeight="1"/>
    <x:row r="805" ht="18" customHeight="1"/>
    <x:row r="806" ht="18" customHeight="1"/>
    <x:row r="807" ht="18" customHeight="1"/>
    <x:row r="808" ht="18" customHeight="1"/>
    <x:row r="809" ht="18" customHeight="1"/>
    <x:row r="810" ht="18" customHeight="1"/>
    <x:row r="811" ht="18" customHeight="1"/>
    <x:row r="812" ht="18" customHeight="1"/>
    <x:row r="813" ht="18" customHeight="1"/>
    <x:row r="814" ht="18" customHeight="1"/>
    <x:row r="815" ht="18" customHeight="1"/>
    <x:row r="816" ht="18" customHeight="1"/>
    <x:row r="817" ht="18" customHeight="1"/>
    <x:row r="818" ht="18" customHeight="1"/>
    <x:row r="819" ht="18" customHeight="1"/>
    <x:row r="820" ht="18" customHeight="1"/>
    <x:row r="821" ht="18" customHeight="1"/>
    <x:row r="822" ht="18" customHeight="1"/>
    <x:row r="823" ht="18" customHeight="1"/>
    <x:row r="824" ht="18" customHeight="1"/>
    <x:row r="825" ht="18" customHeight="1"/>
    <x:row r="826" ht="18" customHeight="1"/>
    <x:row r="827" ht="18" customHeight="1"/>
    <x:row r="828" ht="18" customHeight="1"/>
    <x:row r="829" ht="18" customHeight="1"/>
    <x:row r="830" ht="18" customHeight="1"/>
    <x:row r="831" ht="18" customHeight="1"/>
    <x:row r="832" ht="18" customHeight="1"/>
    <x:row r="833" ht="18" customHeight="1"/>
    <x:row r="834" ht="18" customHeight="1"/>
    <x:row r="835" ht="18" customHeight="1"/>
    <x:row r="836" ht="18" customHeight="1"/>
    <x:row r="837" ht="18" customHeight="1"/>
    <x:row r="838" ht="18" customHeight="1"/>
    <x:row r="839" ht="18" customHeight="1"/>
    <x:row r="840" ht="18" customHeight="1"/>
    <x:row r="841" ht="18" customHeight="1"/>
    <x:row r="842" ht="18" customHeight="1"/>
    <x:row r="843" ht="18" customHeight="1"/>
    <x:row r="844" ht="18" customHeight="1"/>
    <x:row r="845" ht="18" customHeight="1"/>
    <x:row r="846" ht="18" customHeight="1"/>
    <x:row r="847" ht="18" customHeight="1"/>
    <x:row r="848" ht="18" customHeight="1"/>
    <x:row r="849" ht="18" customHeight="1"/>
    <x:row r="850" ht="18" customHeight="1"/>
    <x:row r="851" ht="18" customHeight="1"/>
    <x:row r="852" ht="18" customHeight="1"/>
    <x:row r="853" ht="18" customHeight="1"/>
    <x:row r="854" ht="18" customHeight="1"/>
    <x:row r="855" ht="18" customHeight="1"/>
    <x:row r="856" ht="18" customHeight="1"/>
    <x:row r="857" ht="18" customHeight="1"/>
    <x:row r="858" ht="18" customHeight="1"/>
    <x:row r="859" ht="18" customHeight="1"/>
    <x:row r="860" ht="18" customHeight="1"/>
    <x:row r="861" ht="18" customHeight="1"/>
    <x:row r="862" ht="18" customHeight="1"/>
    <x:row r="863" ht="18" customHeight="1"/>
    <x:row r="864" ht="18" customHeight="1"/>
    <x:row r="865" ht="18" customHeight="1"/>
    <x:row r="866" ht="18" customHeight="1"/>
    <x:row r="867" ht="18" customHeight="1"/>
    <x:row r="868" ht="18" customHeight="1"/>
    <x:row r="869" ht="18" customHeight="1"/>
    <x:row r="870" ht="18" customHeight="1"/>
    <x:row r="871" ht="18" customHeight="1"/>
    <x:row r="872" ht="18" customHeight="1"/>
    <x:row r="873" ht="18" customHeight="1"/>
    <x:row r="874" ht="18" customHeight="1"/>
    <x:row r="875" ht="18" customHeight="1"/>
    <x:row r="876" ht="18" customHeight="1"/>
    <x:row r="877" ht="18" customHeight="1"/>
    <x:row r="878" ht="18" customHeight="1"/>
    <x:row r="879" ht="18" customHeight="1"/>
    <x:row r="880" ht="18" customHeight="1"/>
    <x:row r="881" ht="18" customHeight="1"/>
    <x:row r="882" ht="18" customHeight="1"/>
    <x:row r="883" ht="18" customHeight="1"/>
    <x:row r="884" ht="18" customHeight="1"/>
    <x:row r="885" ht="18" customHeight="1"/>
    <x:row r="886" ht="18" customHeight="1"/>
    <x:row r="887" ht="18" customHeight="1"/>
    <x:row r="888" ht="18" customHeight="1"/>
    <x:row r="889" ht="18" customHeight="1"/>
    <x:row r="890" ht="18" customHeight="1"/>
    <x:row r="891" ht="18" customHeight="1"/>
    <x:row r="892" ht="18" customHeight="1"/>
    <x:row r="893" ht="18" customHeight="1"/>
    <x:row r="894" ht="18" customHeight="1"/>
    <x:row r="895" ht="18" customHeight="1"/>
    <x:row r="896" ht="18" customHeight="1"/>
    <x:row r="897" ht="18" customHeight="1"/>
    <x:row r="898" ht="18" customHeight="1"/>
    <x:row r="899" ht="18" customHeight="1"/>
    <x:row r="900" ht="18" customHeight="1"/>
    <x:row r="901" ht="18" customHeight="1"/>
    <x:row r="902" ht="18" customHeight="1"/>
    <x:row r="903" ht="18" customHeight="1"/>
    <x:row r="904" ht="18" customHeight="1"/>
    <x:row r="905" ht="18" customHeight="1"/>
    <x:row r="906" ht="18" customHeight="1"/>
    <x:row r="907" ht="18" customHeight="1"/>
    <x:row r="908" ht="18" customHeight="1"/>
    <x:row r="909" ht="18" customHeight="1"/>
    <x:row r="910" ht="18" customHeight="1"/>
    <x:row r="911" ht="18" customHeight="1"/>
    <x:row r="912" ht="18" customHeight="1"/>
    <x:row r="913" ht="18" customHeight="1"/>
    <x:row r="914" ht="18" customHeight="1"/>
    <x:row r="915" ht="18" customHeight="1"/>
    <x:row r="916" ht="18" customHeight="1"/>
    <x:row r="917" ht="18" customHeight="1"/>
    <x:row r="918" ht="18" customHeight="1"/>
    <x:row r="919" ht="18" customHeight="1"/>
    <x:row r="920" ht="18" customHeight="1"/>
    <x:row r="921" ht="18" customHeight="1"/>
    <x:row r="922" ht="18" customHeight="1"/>
    <x:row r="923" ht="18" customHeight="1"/>
    <x:row r="924" ht="18" customHeight="1"/>
    <x:row r="925" ht="18" customHeight="1"/>
    <x:row r="926" ht="18" customHeight="1"/>
    <x:row r="927" ht="18" customHeight="1"/>
    <x:row r="928" ht="18" customHeight="1"/>
    <x:row r="929" ht="18" customHeight="1"/>
    <x:row r="930" ht="18" customHeight="1"/>
    <x:row r="931" ht="18" customHeight="1"/>
    <x:row r="932" ht="18" customHeight="1"/>
    <x:row r="933" ht="18" customHeight="1"/>
    <x:row r="934" ht="18" customHeight="1"/>
    <x:row r="935" ht="18" customHeight="1"/>
    <x:row r="936" ht="18" customHeight="1"/>
    <x:row r="937" ht="18" customHeight="1"/>
    <x:row r="938" ht="18" customHeight="1"/>
    <x:row r="939" ht="18" customHeight="1"/>
    <x:row r="940" ht="18" customHeight="1"/>
    <x:row r="941" ht="18" customHeight="1"/>
    <x:row r="942" ht="18" customHeight="1"/>
    <x:row r="943" ht="18" customHeight="1"/>
    <x:row r="944" ht="18" customHeight="1"/>
    <x:row r="945" ht="18" customHeight="1"/>
    <x:row r="946" ht="18" customHeight="1"/>
    <x:row r="947" ht="18" customHeight="1"/>
    <x:row r="948" ht="18" customHeight="1"/>
    <x:row r="949" ht="18" customHeight="1"/>
    <x:row r="950" ht="18" customHeight="1"/>
    <x:row r="951" ht="18" customHeight="1"/>
    <x:row r="952" ht="18" customHeight="1"/>
    <x:row r="953" ht="18" customHeight="1"/>
    <x:row r="954" ht="18" customHeight="1"/>
    <x:row r="955" ht="18" customHeight="1"/>
    <x:row r="956" ht="18" customHeight="1"/>
    <x:row r="957" ht="18" customHeight="1"/>
    <x:row r="958" ht="18" customHeight="1"/>
    <x:row r="959" ht="18" customHeight="1"/>
    <x:row r="960" ht="18" customHeight="1"/>
    <x:row r="961" ht="18" customHeight="1"/>
    <x:row r="962" ht="18" customHeight="1"/>
    <x:row r="963" ht="18" customHeight="1"/>
    <x:row r="964" ht="18" customHeight="1"/>
    <x:row r="965" ht="18" customHeight="1"/>
    <x:row r="966" ht="18" customHeight="1"/>
    <x:row r="967" ht="18" customHeight="1"/>
    <x:row r="968" ht="18" customHeight="1"/>
    <x:row r="969" ht="18" customHeight="1"/>
    <x:row r="970" ht="18" customHeight="1"/>
    <x:row r="971" ht="18" customHeight="1"/>
    <x:row r="972" ht="18" customHeight="1"/>
    <x:row r="973" ht="18" customHeight="1"/>
    <x:row r="974" ht="18" customHeight="1"/>
    <x:row r="975" ht="18" customHeight="1"/>
    <x:row r="976" ht="18" customHeight="1"/>
    <x:row r="977" ht="18" customHeight="1"/>
    <x:row r="978" ht="18" customHeight="1"/>
    <x:row r="979" ht="18" customHeight="1"/>
    <x:row r="980" ht="18" customHeight="1"/>
    <x:row r="981" ht="18" customHeight="1"/>
    <x:row r="982" ht="18" customHeight="1"/>
    <x:row r="983" ht="18" customHeight="1"/>
    <x:row r="984" ht="18" customHeight="1"/>
    <x:row r="985" ht="18" customHeight="1"/>
    <x:row r="986" ht="18" customHeight="1"/>
    <x:row r="987" ht="18" customHeight="1"/>
    <x:row r="988" ht="18" customHeight="1"/>
    <x:row r="989" ht="18" customHeight="1"/>
    <x:row r="990" ht="18" customHeight="1"/>
    <x:row r="991" ht="18" customHeight="1"/>
    <x:row r="992" ht="18" customHeight="1"/>
    <x:row r="993" ht="18" customHeight="1"/>
    <x:row r="994" ht="18" customHeight="1"/>
    <x:row r="995" ht="18" customHeight="1"/>
    <x:row r="996" ht="18" customHeight="1"/>
    <x:row r="997" ht="18" customHeight="1"/>
    <x:row r="998" ht="18" customHeight="1"/>
    <x:row r="999" ht="18" customHeight="1"/>
    <x:row r="1000" ht="18" customHeight="1"/>
    <x:row r="1001" ht="18" customHeight="1"/>
    <x:row r="1002" ht="18" customHeight="1"/>
    <x:row r="1003" ht="18" customHeight="1"/>
    <x:row r="1004" ht="18" customHeight="1"/>
    <x:row r="1005" ht="18" customHeight="1"/>
    <x:row r="1006" ht="18" customHeight="1"/>
    <x:row r="1007" ht="18" customHeight="1"/>
    <x:row r="1008" ht="18" customHeight="1"/>
    <x:row r="1009" ht="18" customHeight="1"/>
    <x:row r="1010" ht="18" customHeight="1"/>
    <x:row r="1011" ht="18" customHeight="1"/>
    <x:row r="1012" ht="18" customHeight="1"/>
    <x:row r="1013" ht="18" customHeight="1"/>
    <x:row r="1014" ht="18" customHeight="1"/>
    <x:row r="1015" ht="18" customHeight="1"/>
    <x:row r="1016" ht="18" customHeight="1"/>
    <x:row r="1017" ht="18" customHeight="1"/>
    <x:row r="1018" ht="18" customHeight="1"/>
    <x:row r="1019" ht="18" customHeight="1"/>
    <x:row r="1020" ht="18" customHeight="1"/>
    <x:row r="1021" ht="18" customHeight="1"/>
    <x:row r="1022" ht="18" customHeight="1"/>
    <x:row r="1023" ht="18" customHeight="1"/>
    <x:row r="1024" ht="18" customHeight="1"/>
    <x:row r="1025" ht="18" customHeight="1"/>
    <x:row r="1026" ht="18" customHeight="1"/>
    <x:row r="1027" ht="18" customHeight="1"/>
    <x:row r="1028" ht="18" customHeight="1"/>
    <x:row r="1029" ht="18" customHeight="1"/>
    <x:row r="1030" ht="18" customHeight="1"/>
    <x:row r="1031" ht="18" customHeight="1"/>
    <x:row r="1032" ht="18" customHeight="1"/>
    <x:row r="1033" ht="18" customHeight="1"/>
    <x:row r="1034" ht="18" customHeight="1"/>
    <x:row r="1035" ht="18" customHeight="1"/>
    <x:row r="1036" ht="18" customHeight="1"/>
    <x:row r="1037" ht="18" customHeight="1"/>
    <x:row r="1038" ht="18" customHeight="1"/>
    <x:row r="1039" ht="18" customHeight="1"/>
    <x:row r="1040" ht="18" customHeight="1"/>
    <x:row r="1041" ht="18" customHeight="1"/>
    <x:row r="1042" ht="18" customHeight="1"/>
    <x:row r="1043" ht="18" customHeight="1"/>
    <x:row r="1044" ht="18" customHeight="1"/>
    <x:row r="1045" ht="18" customHeight="1"/>
    <x:row r="1046" ht="18" customHeight="1"/>
    <x:row r="1047" ht="18" customHeight="1"/>
    <x:row r="1048" ht="18" customHeight="1"/>
    <x:row r="1049" ht="18" customHeight="1"/>
    <x:row r="1050" ht="18" customHeight="1"/>
    <x:row r="1051" ht="18" customHeight="1"/>
    <x:row r="1052" ht="18" customHeight="1"/>
    <x:row r="1053" ht="18" customHeight="1"/>
    <x:row r="1054" ht="18" customHeight="1"/>
    <x:row r="1055" ht="18" customHeight="1"/>
    <x:row r="1056" ht="18" customHeight="1"/>
    <x:row r="1057" ht="18" customHeight="1"/>
    <x:row r="1058" ht="18" customHeight="1"/>
    <x:row r="1059" ht="18" customHeight="1"/>
    <x:row r="1060" ht="18" customHeight="1"/>
    <x:row r="1061" ht="18" customHeight="1"/>
    <x:row r="1062" ht="18" customHeight="1"/>
    <x:row r="1063" ht="18" customHeight="1"/>
    <x:row r="1064" ht="18" customHeight="1"/>
    <x:row r="1065" ht="18" customHeight="1"/>
    <x:row r="1066" ht="18" customHeight="1"/>
    <x:row r="1067" ht="18" customHeight="1"/>
    <x:row r="1068" ht="18" customHeight="1"/>
    <x:row r="1069" ht="18" customHeight="1"/>
    <x:row r="1070" ht="18" customHeight="1"/>
    <x:row r="1071" ht="18" customHeight="1"/>
    <x:row r="1072" ht="18" customHeight="1"/>
    <x:row r="1073" ht="18" customHeight="1"/>
    <x:row r="1074" ht="18" customHeight="1"/>
    <x:row r="1075" ht="18" customHeight="1"/>
    <x:row r="1076" ht="18" customHeight="1"/>
    <x:row r="1077" ht="18" customHeight="1"/>
    <x:row r="1078" ht="18" customHeight="1"/>
    <x:row r="1079" ht="18" customHeight="1"/>
    <x:row r="1080" ht="18" customHeight="1"/>
    <x:row r="1081" ht="18" customHeight="1"/>
    <x:row r="1082" ht="18" customHeight="1"/>
    <x:row r="1083" ht="18" customHeight="1"/>
    <x:row r="1084" ht="18" customHeight="1"/>
    <x:row r="1085" ht="18" customHeight="1"/>
    <x:row r="1086" ht="18" customHeight="1"/>
    <x:row r="1087" ht="18" customHeight="1"/>
    <x:row r="1088" ht="18" customHeight="1"/>
    <x:row r="1089" ht="18" customHeight="1"/>
    <x:row r="1090" ht="18" customHeight="1"/>
    <x:row r="1091" ht="18" customHeight="1"/>
    <x:row r="1092" ht="18" customHeight="1"/>
    <x:row r="1093" ht="18" customHeight="1"/>
    <x:row r="1094" ht="18" customHeight="1"/>
    <x:row r="1095" ht="18" customHeight="1"/>
    <x:row r="1096" ht="18" customHeight="1"/>
    <x:row r="1097" ht="18" customHeight="1"/>
    <x:row r="1098" ht="18" customHeight="1"/>
    <x:row r="1099" ht="18" customHeight="1"/>
    <x:row r="1100" ht="18" customHeight="1"/>
    <x:row r="1101" ht="18" customHeight="1"/>
    <x:row r="1102" ht="18" customHeight="1"/>
    <x:row r="1103" ht="18" customHeight="1"/>
    <x:row r="1104" ht="18" customHeight="1"/>
    <x:row r="1105" ht="18" customHeight="1"/>
    <x:row r="1106" ht="18" customHeight="1"/>
    <x:row r="1107" ht="18" customHeight="1"/>
    <x:row r="1108" ht="18" customHeight="1"/>
    <x:row r="1109" ht="18" customHeight="1"/>
    <x:row r="1110" ht="18" customHeight="1"/>
    <x:row r="1111" ht="18" customHeight="1"/>
    <x:row r="1112" ht="18" customHeight="1"/>
    <x:row r="1113" ht="18" customHeight="1"/>
    <x:row r="1114" ht="18" customHeight="1"/>
    <x:row r="1115" ht="18" customHeight="1"/>
    <x:row r="1116" ht="18" customHeight="1"/>
    <x:row r="1117" ht="18" customHeight="1"/>
    <x:row r="1118" ht="18" customHeight="1"/>
    <x:row r="1119" ht="18" customHeight="1"/>
    <x:row r="1120" ht="18" customHeight="1"/>
    <x:row r="1121" ht="18" customHeight="1"/>
    <x:row r="1122" ht="18" customHeight="1"/>
    <x:row r="1123" ht="18" customHeight="1"/>
    <x:row r="1124" ht="18" customHeight="1"/>
    <x:row r="1125" ht="18" customHeight="1"/>
    <x:row r="1126" ht="18" customHeight="1"/>
    <x:row r="1127" ht="18" customHeight="1"/>
    <x:row r="1128" ht="18" customHeight="1"/>
    <x:row r="1129" ht="18" customHeight="1"/>
    <x:row r="1130" ht="18" customHeight="1"/>
    <x:row r="1131" ht="18" customHeight="1"/>
    <x:row r="1132" ht="18" customHeight="1"/>
    <x:row r="1133" ht="18" customHeight="1"/>
    <x:row r="1134" ht="18" customHeight="1"/>
    <x:row r="1135" ht="18" customHeight="1"/>
    <x:row r="1136" ht="18" customHeight="1"/>
    <x:row r="1137" ht="18" customHeight="1"/>
    <x:row r="1138" ht="18" customHeight="1"/>
    <x:row r="1139" ht="18" customHeight="1"/>
    <x:row r="1140" ht="18" customHeight="1"/>
    <x:row r="1141" ht="18" customHeight="1"/>
    <x:row r="1142" ht="18" customHeight="1"/>
    <x:row r="1143" ht="18" customHeight="1"/>
    <x:row r="1144" ht="18" customHeight="1"/>
    <x:row r="1145" ht="18" customHeight="1"/>
    <x:row r="1146" ht="18" customHeight="1"/>
    <x:row r="1147" ht="18" customHeight="1"/>
    <x:row r="1148" ht="18" customHeight="1"/>
    <x:row r="1149" ht="18" customHeight="1"/>
    <x:row r="1150" ht="18" customHeight="1"/>
    <x:row r="1151" ht="18" customHeight="1"/>
    <x:row r="1152" ht="18" customHeight="1"/>
    <x:row r="1153" ht="18" customHeight="1"/>
    <x:row r="1154" ht="18" customHeight="1"/>
    <x:row r="1155" ht="18" customHeight="1"/>
    <x:row r="1156" ht="18" customHeight="1"/>
    <x:row r="1157" ht="18" customHeight="1"/>
    <x:row r="1158" ht="18" customHeight="1"/>
    <x:row r="1159" ht="18" customHeight="1"/>
    <x:row r="1160" ht="18" customHeight="1"/>
    <x:row r="1161" ht="18" customHeight="1"/>
    <x:row r="1162" ht="18" customHeight="1"/>
    <x:row r="1163" ht="18" customHeight="1"/>
    <x:row r="1164" ht="18" customHeight="1"/>
    <x:row r="1165" ht="18" customHeight="1"/>
    <x:row r="1166" ht="18" customHeight="1"/>
    <x:row r="1167" ht="18" customHeight="1"/>
    <x:row r="1168" ht="18" customHeight="1"/>
    <x:row r="1169" ht="18" customHeight="1"/>
    <x:row r="1170" ht="18" customHeight="1"/>
    <x:row r="1171" ht="18" customHeight="1"/>
    <x:row r="1172" ht="18" customHeight="1"/>
    <x:row r="1173" ht="18" customHeight="1"/>
    <x:row r="1174" ht="18" customHeight="1"/>
    <x:row r="1175" ht="18" customHeight="1"/>
    <x:row r="1176" ht="18" customHeight="1"/>
    <x:row r="1177" ht="18" customHeight="1"/>
    <x:row r="1178" ht="18" customHeight="1"/>
    <x:row r="1179" ht="18" customHeight="1"/>
    <x:row r="1180" ht="18" customHeight="1"/>
    <x:row r="1181" ht="18" customHeight="1"/>
    <x:row r="1182" ht="18" customHeight="1"/>
    <x:row r="1183" ht="18" customHeight="1"/>
    <x:row r="1184" ht="18" customHeight="1"/>
    <x:row r="1185" ht="18" customHeight="1"/>
    <x:row r="1186" ht="18" customHeight="1"/>
    <x:row r="1187" ht="18" customHeight="1"/>
    <x:row r="1188" ht="18" customHeight="1"/>
    <x:row r="1189" ht="18" customHeight="1"/>
    <x:row r="1190" ht="18" customHeight="1"/>
    <x:row r="1191" ht="18" customHeight="1"/>
    <x:row r="1192" ht="18" customHeight="1"/>
    <x:row r="1193" ht="18" customHeight="1"/>
    <x:row r="1194" ht="18" customHeight="1"/>
    <x:row r="1195" ht="18" customHeight="1"/>
    <x:row r="1196" ht="18" customHeight="1"/>
    <x:row r="1197" ht="18" customHeight="1"/>
    <x:row r="1198" ht="18" customHeight="1"/>
    <x:row r="1199" ht="18" customHeight="1"/>
    <x:row r="1200" ht="18" customHeight="1"/>
    <x:row r="1201" ht="18" customHeight="1"/>
    <x:row r="1202" ht="18" customHeight="1"/>
    <x:row r="1203" ht="18" customHeight="1"/>
    <x:row r="1204" ht="18" customHeight="1"/>
    <x:row r="1205" ht="18" customHeight="1"/>
    <x:row r="1206" ht="18" customHeight="1"/>
    <x:row r="1207" ht="18" customHeight="1"/>
    <x:row r="1208" ht="18" customHeight="1"/>
    <x:row r="1209" ht="18" customHeight="1"/>
    <x:row r="1210" ht="18" customHeight="1"/>
    <x:row r="1211" ht="18" customHeight="1"/>
    <x:row r="1212" ht="18" customHeight="1"/>
    <x:row r="1213" ht="18" customHeight="1"/>
    <x:row r="1214" ht="18" customHeight="1"/>
    <x:row r="1215" ht="18" customHeight="1"/>
    <x:row r="1216" ht="18" customHeight="1"/>
    <x:row r="1217" ht="18" customHeight="1"/>
    <x:row r="1218" ht="18" customHeight="1"/>
    <x:row r="1219" ht="18" customHeight="1"/>
    <x:row r="1220" ht="18" customHeight="1"/>
    <x:row r="1221" ht="18" customHeight="1"/>
    <x:row r="1222" ht="18" customHeight="1"/>
    <x:row r="1223" ht="18" customHeight="1"/>
    <x:row r="1224" ht="18" customHeight="1"/>
    <x:row r="1225" ht="18" customHeight="1"/>
    <x:row r="1226" ht="18" customHeight="1"/>
    <x:row r="1227" ht="18" customHeight="1"/>
    <x:row r="1228" ht="18" customHeight="1"/>
    <x:row r="1229" ht="18" customHeight="1"/>
    <x:row r="1230" ht="18" customHeight="1"/>
    <x:row r="1231" ht="18" customHeight="1"/>
    <x:row r="1232" ht="18" customHeight="1"/>
    <x:row r="1233" ht="18" customHeight="1"/>
    <x:row r="1234" ht="18" customHeight="1"/>
    <x:row r="1235" ht="18" customHeight="1"/>
    <x:row r="1236" ht="18" customHeight="1"/>
    <x:row r="1237" ht="18" customHeight="1"/>
    <x:row r="1238" ht="18" customHeight="1"/>
    <x:row r="1239" ht="18" customHeight="1"/>
    <x:row r="1240" ht="18" customHeight="1"/>
    <x:row r="1241" ht="18" customHeight="1"/>
    <x:row r="1242" ht="18" customHeight="1"/>
    <x:row r="1243" ht="18" customHeight="1"/>
    <x:row r="1244" ht="18" customHeight="1"/>
    <x:row r="1245" ht="18" customHeight="1"/>
    <x:row r="1246" ht="18" customHeight="1"/>
    <x:row r="1247" ht="18" customHeight="1"/>
    <x:row r="1248" ht="18" customHeight="1"/>
    <x:row r="1249" ht="18" customHeight="1"/>
    <x:row r="1250" ht="18" customHeight="1"/>
    <x:row r="1251" ht="18" customHeight="1"/>
    <x:row r="1252" ht="18" customHeight="1"/>
    <x:row r="1253" ht="18" customHeight="1"/>
    <x:row r="1254" ht="18" customHeight="1"/>
    <x:row r="1255" ht="18" customHeight="1"/>
    <x:row r="1256" ht="18" customHeight="1"/>
    <x:row r="1257" ht="18" customHeight="1"/>
    <x:row r="1258" ht="18" customHeight="1"/>
    <x:row r="1259" ht="18" customHeight="1"/>
    <x:row r="1260" ht="18" customHeight="1"/>
    <x:row r="1261" ht="18" customHeight="1"/>
    <x:row r="1262" ht="18" customHeight="1"/>
    <x:row r="1263" ht="18" customHeight="1"/>
    <x:row r="1264" ht="18" customHeight="1"/>
    <x:row r="1265" ht="18" customHeight="1"/>
    <x:row r="1266" ht="18" customHeight="1"/>
    <x:row r="1267" ht="18" customHeight="1"/>
    <x:row r="1268" ht="18" customHeight="1"/>
    <x:row r="1269" ht="18" customHeight="1"/>
    <x:row r="1270" ht="18" customHeight="1"/>
    <x:row r="1271" ht="18" customHeight="1"/>
    <x:row r="1272" ht="18" customHeight="1"/>
    <x:row r="1273" ht="18" customHeight="1"/>
    <x:row r="1274" ht="18" customHeight="1"/>
    <x:row r="1275" ht="18" customHeight="1"/>
    <x:row r="1276" ht="18" customHeight="1"/>
    <x:row r="1277" ht="18" customHeight="1"/>
    <x:row r="1278" ht="18" customHeight="1"/>
    <x:row r="1279" ht="18" customHeight="1"/>
    <x:row r="1280" ht="18" customHeight="1"/>
    <x:row r="1281" ht="18" customHeight="1"/>
    <x:row r="1282" ht="18" customHeight="1"/>
    <x:row r="1283" ht="18" customHeight="1"/>
    <x:row r="1284" ht="18" customHeight="1"/>
    <x:row r="1285" ht="18" customHeight="1"/>
    <x:row r="1286" ht="18" customHeight="1"/>
    <x:row r="1287" ht="18" customHeight="1"/>
    <x:row r="1288" ht="18" customHeight="1"/>
    <x:row r="1289" ht="18" customHeight="1"/>
    <x:row r="1290" ht="18" customHeight="1"/>
    <x:row r="1291" ht="18" customHeight="1"/>
    <x:row r="1292" ht="18" customHeight="1"/>
    <x:row r="1293" ht="18" customHeight="1"/>
    <x:row r="1294" ht="18" customHeight="1"/>
    <x:row r="1295" ht="18" customHeight="1"/>
    <x:row r="1296" ht="18" customHeight="1"/>
    <x:row r="1297" ht="18" customHeight="1"/>
    <x:row r="1298" ht="18" customHeight="1"/>
    <x:row r="1299" ht="18" customHeight="1"/>
    <x:row r="1300" ht="18" customHeight="1"/>
    <x:row r="1301" ht="18" customHeight="1"/>
    <x:row r="1302" ht="18" customHeight="1"/>
    <x:row r="1303" ht="18" customHeight="1"/>
    <x:row r="1304" ht="18" customHeight="1"/>
    <x:row r="1305" ht="18" customHeight="1"/>
    <x:row r="1306" ht="18" customHeight="1"/>
    <x:row r="1307" ht="18" customHeight="1"/>
    <x:row r="1308" ht="18" customHeight="1"/>
    <x:row r="1309" ht="18" customHeight="1"/>
    <x:row r="1310" ht="18" customHeight="1"/>
    <x:row r="1311" ht="18" customHeight="1"/>
    <x:row r="1312" ht="18" customHeight="1"/>
    <x:row r="1313" ht="18" customHeight="1"/>
    <x:row r="1314" ht="18" customHeight="1"/>
    <x:row r="1315" ht="18" customHeight="1"/>
    <x:row r="1316" ht="18" customHeight="1"/>
    <x:row r="1317" ht="18" customHeight="1"/>
    <x:row r="1318" ht="18" customHeight="1"/>
    <x:row r="1319" ht="18" customHeight="1"/>
    <x:row r="1320" ht="18" customHeight="1"/>
    <x:row r="1321" ht="18" customHeight="1"/>
    <x:row r="1322" ht="18" customHeight="1"/>
    <x:row r="1323" ht="18" customHeight="1"/>
    <x:row r="1324" ht="18" customHeight="1"/>
    <x:row r="1325" ht="18" customHeight="1"/>
    <x:row r="1326" ht="18" customHeight="1"/>
    <x:row r="1327" ht="18" customHeight="1"/>
    <x:row r="1328" ht="18" customHeight="1"/>
    <x:row r="1329" ht="18" customHeight="1"/>
    <x:row r="1330" ht="18" customHeight="1"/>
    <x:row r="1331" ht="18" customHeight="1"/>
    <x:row r="1332" ht="18" customHeight="1"/>
    <x:row r="1333" ht="18" customHeight="1"/>
    <x:row r="1334" ht="18" customHeight="1"/>
    <x:row r="1335" ht="18" customHeight="1"/>
    <x:row r="1336" ht="18" customHeight="1"/>
    <x:row r="1337" ht="18" customHeight="1"/>
    <x:row r="1338" ht="18" customHeight="1"/>
    <x:row r="1339" ht="18" customHeight="1"/>
    <x:row r="1340" ht="18" customHeight="1"/>
    <x:row r="1341" ht="18" customHeight="1"/>
    <x:row r="1342" ht="18" customHeight="1"/>
    <x:row r="1343" ht="18" customHeight="1"/>
    <x:row r="1344" ht="18" customHeight="1"/>
    <x:row r="1345" ht="18" customHeight="1"/>
    <x:row r="1346" ht="18" customHeight="1"/>
    <x:row r="1347" ht="18" customHeight="1"/>
    <x:row r="1348" ht="18" customHeight="1"/>
    <x:row r="1349" ht="18" customHeight="1"/>
    <x:row r="1350" ht="18" customHeight="1"/>
    <x:row r="1351" ht="18" customHeight="1"/>
    <x:row r="1352" ht="18" customHeight="1"/>
    <x:row r="1353" ht="18" customHeight="1"/>
    <x:row r="1354" ht="18" customHeight="1"/>
    <x:row r="1355" ht="18" customHeight="1"/>
    <x:row r="1356" ht="18" customHeight="1"/>
    <x:row r="1357" ht="18" customHeight="1"/>
    <x:row r="1358" ht="18" customHeight="1"/>
    <x:row r="1359" ht="18" customHeight="1"/>
    <x:row r="1360" ht="18" customHeight="1"/>
    <x:row r="1361" ht="18" customHeight="1"/>
    <x:row r="1362" ht="18" customHeight="1"/>
    <x:row r="1363" ht="18" customHeight="1"/>
    <x:row r="1364" ht="18" customHeight="1"/>
    <x:row r="1365" ht="18" customHeight="1"/>
    <x:row r="1366" ht="18" customHeight="1"/>
    <x:row r="1367" ht="18" customHeight="1"/>
    <x:row r="1368" ht="18" customHeight="1"/>
    <x:row r="1369" ht="18" customHeight="1"/>
    <x:row r="1370" ht="18" customHeight="1"/>
    <x:row r="1371" ht="18" customHeight="1"/>
    <x:row r="1372" ht="18" customHeight="1"/>
    <x:row r="1373" ht="18" customHeight="1"/>
    <x:row r="1374" ht="18" customHeight="1"/>
    <x:row r="1375" ht="18" customHeight="1"/>
    <x:row r="1376" ht="18" customHeight="1"/>
    <x:row r="1377" ht="18" customHeight="1"/>
    <x:row r="1378" ht="18" customHeight="1"/>
    <x:row r="1379" ht="18" customHeight="1"/>
    <x:row r="1380" ht="18" customHeight="1"/>
    <x:row r="1381" ht="18" customHeight="1"/>
    <x:row r="1382" ht="18" customHeight="1"/>
    <x:row r="1383" ht="18" customHeight="1"/>
    <x:row r="1384" ht="18" customHeight="1"/>
    <x:row r="1385" ht="18" customHeight="1"/>
    <x:row r="1386" ht="18" customHeight="1"/>
    <x:row r="1387" ht="18" customHeight="1"/>
    <x:row r="1388" ht="18" customHeight="1"/>
    <x:row r="1389" ht="18" customHeight="1"/>
    <x:row r="1390" ht="18" customHeight="1"/>
    <x:row r="1391" ht="18" customHeight="1"/>
    <x:row r="1392" ht="18" customHeight="1"/>
    <x:row r="1393" ht="18" customHeight="1"/>
    <x:row r="1394" ht="18" customHeight="1"/>
    <x:row r="1395" ht="18" customHeight="1"/>
    <x:row r="1396" ht="18" customHeight="1"/>
    <x:row r="1397" ht="18" customHeight="1"/>
    <x:row r="1398" ht="18" customHeight="1"/>
    <x:row r="1399" ht="18" customHeight="1"/>
    <x:row r="1400" ht="18" customHeight="1"/>
    <x:row r="1401" ht="18" customHeight="1"/>
    <x:row r="1402" ht="18" customHeight="1"/>
    <x:row r="1403" ht="18" customHeight="1"/>
    <x:row r="1404" ht="18" customHeight="1"/>
    <x:row r="1405" ht="18" customHeight="1"/>
    <x:row r="1406" ht="18" customHeight="1"/>
    <x:row r="1407" ht="18" customHeight="1"/>
    <x:row r="1408" ht="18" customHeight="1"/>
    <x:row r="1409" ht="18" customHeight="1"/>
    <x:row r="1410" ht="18" customHeight="1"/>
    <x:row r="1411" ht="18" customHeight="1"/>
    <x:row r="1412" ht="18" customHeight="1"/>
    <x:row r="1413" ht="18" customHeight="1"/>
    <x:row r="1414" ht="18" customHeight="1"/>
    <x:row r="1415" ht="18" customHeight="1"/>
    <x:row r="1416" ht="18" customHeight="1"/>
    <x:row r="1417" ht="18" customHeight="1"/>
    <x:row r="1418" ht="18" customHeight="1"/>
    <x:row r="1419" ht="18" customHeight="1"/>
    <x:row r="1420" ht="18" customHeight="1"/>
    <x:row r="1421" ht="18" customHeight="1"/>
    <x:row r="1422" ht="18" customHeight="1"/>
    <x:row r="1423" ht="18" customHeight="1"/>
    <x:row r="1424" ht="18" customHeight="1"/>
    <x:row r="1425" ht="18" customHeight="1"/>
    <x:row r="1426" ht="18" customHeight="1"/>
    <x:row r="1427" ht="18" customHeight="1"/>
    <x:row r="1428" ht="18" customHeight="1"/>
    <x:row r="1429" ht="18" customHeight="1"/>
    <x:row r="1430" ht="18" customHeight="1"/>
    <x:row r="1431" ht="18" customHeight="1"/>
    <x:row r="1432" ht="18" customHeight="1"/>
    <x:row r="1433" ht="18" customHeight="1"/>
    <x:row r="1434" ht="18" customHeight="1"/>
    <x:row r="1435" ht="18" customHeight="1"/>
    <x:row r="1436" ht="18" customHeight="1"/>
    <x:row r="1437" ht="18" customHeight="1"/>
    <x:row r="1438" ht="18" customHeight="1"/>
    <x:row r="1439" ht="18" customHeight="1"/>
    <x:row r="1440" ht="18" customHeight="1"/>
    <x:row r="1441" ht="18" customHeight="1"/>
    <x:row r="1442" ht="18" customHeight="1"/>
    <x:row r="1443" ht="18" customHeight="1"/>
    <x:row r="1444" ht="18" customHeight="1"/>
    <x:row r="1445" ht="18" customHeight="1"/>
    <x:row r="1446" ht="18" customHeight="1"/>
    <x:row r="1447" ht="18" customHeight="1"/>
    <x:row r="1448" ht="18" customHeight="1"/>
    <x:row r="1449" ht="18" customHeight="1"/>
    <x:row r="1450" ht="18" customHeight="1"/>
    <x:row r="1451" ht="18" customHeight="1"/>
    <x:row r="1452" ht="18" customHeight="1"/>
    <x:row r="1453" ht="18" customHeight="1"/>
    <x:row r="1454" ht="18" customHeight="1"/>
    <x:row r="1455" ht="18" customHeight="1"/>
    <x:row r="1456" ht="18" customHeight="1"/>
    <x:row r="1457" ht="18" customHeight="1"/>
    <x:row r="1458" ht="18" customHeight="1"/>
    <x:row r="1459" ht="18" customHeight="1"/>
    <x:row r="1460" ht="18" customHeight="1"/>
    <x:row r="1461" ht="18" customHeight="1"/>
    <x:row r="1462" ht="18" customHeight="1"/>
    <x:row r="1463" ht="18" customHeight="1"/>
    <x:row r="1464" ht="18" customHeight="1"/>
    <x:row r="1465" ht="18" customHeight="1"/>
    <x:row r="1466" ht="18" customHeight="1"/>
    <x:row r="1467" ht="18" customHeight="1"/>
    <x:row r="1468" ht="18" customHeight="1"/>
    <x:row r="1469" ht="18" customHeight="1"/>
    <x:row r="1470" ht="18" customHeight="1"/>
    <x:row r="1471" ht="18" customHeight="1"/>
    <x:row r="1472" ht="18" customHeight="1"/>
    <x:row r="1473" ht="18" customHeight="1"/>
    <x:row r="1474" ht="18" customHeight="1"/>
    <x:row r="1475" ht="18" customHeight="1"/>
    <x:row r="1476" ht="18" customHeight="1"/>
    <x:row r="1477" ht="18" customHeight="1"/>
    <x:row r="1478" ht="18" customHeight="1"/>
    <x:row r="1479" ht="18" customHeight="1"/>
    <x:row r="1480" ht="18" customHeight="1"/>
    <x:row r="1481" ht="18" customHeight="1"/>
    <x:row r="1482" ht="18" customHeight="1"/>
    <x:row r="1483" ht="18" customHeight="1"/>
    <x:row r="1484" ht="18" customHeight="1"/>
    <x:row r="1485" ht="18" customHeight="1"/>
    <x:row r="1486" ht="18" customHeight="1"/>
    <x:row r="1487" ht="18" customHeight="1"/>
    <x:row r="1488" ht="18" customHeight="1"/>
    <x:row r="1489" ht="18" customHeight="1"/>
    <x:row r="1490" ht="18" customHeight="1"/>
    <x:row r="1491" ht="18" customHeight="1"/>
    <x:row r="1492" ht="18" customHeight="1"/>
    <x:row r="1493" ht="18" customHeight="1"/>
    <x:row r="1494" ht="18" customHeight="1"/>
    <x:row r="1495" ht="18" customHeight="1"/>
    <x:row r="1496" ht="18" customHeight="1"/>
    <x:row r="1497" ht="18" customHeight="1"/>
    <x:row r="1498" ht="18" customHeight="1"/>
    <x:row r="1499" ht="18" customHeight="1"/>
    <x:row r="1500" ht="18" customHeight="1"/>
    <x:row r="1501" ht="18" customHeight="1"/>
    <x:row r="1502" ht="18" customHeight="1"/>
    <x:row r="1503" ht="18" customHeight="1"/>
    <x:row r="1504" ht="18" customHeight="1"/>
    <x:row r="1505" ht="18" customHeight="1"/>
    <x:row r="1506" ht="18" customHeight="1"/>
    <x:row r="1507" ht="18" customHeight="1"/>
    <x:row r="1508" ht="18" customHeight="1"/>
    <x:row r="1509" ht="18" customHeight="1"/>
    <x:row r="1510" ht="18" customHeight="1"/>
    <x:row r="1511" ht="18" customHeight="1"/>
    <x:row r="1512" ht="18" customHeight="1"/>
    <x:row r="1513" ht="18" customHeight="1"/>
    <x:row r="1514" ht="18" customHeight="1"/>
    <x:row r="1515" ht="18" customHeight="1"/>
    <x:row r="1516" ht="18" customHeight="1"/>
    <x:row r="1517" ht="18" customHeight="1"/>
    <x:row r="1518" ht="18" customHeight="1"/>
    <x:row r="1519" ht="18" customHeight="1"/>
    <x:row r="1520" ht="18" customHeight="1"/>
    <x:row r="1521" ht="18" customHeight="1"/>
    <x:row r="1522" ht="18" customHeight="1"/>
    <x:row r="1523" ht="18" customHeight="1"/>
    <x:row r="1524" ht="18" customHeight="1"/>
    <x:row r="1525" ht="18" customHeight="1"/>
    <x:row r="1526" ht="18" customHeight="1"/>
    <x:row r="1527" ht="18" customHeight="1"/>
    <x:row r="1528" ht="18" customHeight="1"/>
    <x:row r="1529" ht="18" customHeight="1"/>
    <x:row r="1530" ht="18" customHeight="1"/>
    <x:row r="1531" ht="18" customHeight="1"/>
    <x:row r="1532" ht="18" customHeight="1"/>
    <x:row r="1533" ht="18" customHeight="1"/>
    <x:row r="1534" ht="18" customHeight="1"/>
    <x:row r="1535" ht="18" customHeight="1"/>
    <x:row r="1536" ht="18" customHeight="1"/>
    <x:row r="1537" ht="18" customHeight="1"/>
    <x:row r="1538" ht="18" customHeight="1"/>
    <x:row r="1539" ht="18" customHeight="1"/>
    <x:row r="1540" ht="18" customHeight="1"/>
    <x:row r="1541" ht="18" customHeight="1"/>
    <x:row r="1542" ht="18" customHeight="1"/>
    <x:row r="1543" ht="18" customHeight="1"/>
    <x:row r="1544" ht="18" customHeight="1"/>
    <x:row r="1545" ht="18" customHeight="1"/>
    <x:row r="1546" ht="18" customHeight="1"/>
    <x:row r="1547" ht="18" customHeight="1"/>
    <x:row r="1548" ht="18" customHeight="1"/>
    <x:row r="1549" ht="18" customHeight="1"/>
    <x:row r="1550" ht="18" customHeight="1"/>
    <x:row r="1551" ht="18" customHeight="1"/>
    <x:row r="1552" ht="18" customHeight="1"/>
    <x:row r="1553" ht="18" customHeight="1"/>
    <x:row r="1554" ht="18" customHeight="1"/>
    <x:row r="1555" ht="18" customHeight="1"/>
    <x:row r="1556" ht="18" customHeight="1"/>
    <x:row r="1557" ht="18" customHeight="1"/>
    <x:row r="1558" ht="18" customHeight="1"/>
    <x:row r="1559" ht="18" customHeight="1"/>
    <x:row r="1560" ht="18" customHeight="1"/>
    <x:row r="1561" ht="18" customHeight="1"/>
    <x:row r="1562" ht="18" customHeight="1"/>
    <x:row r="1563" ht="18" customHeight="1"/>
    <x:row r="1564" ht="18" customHeight="1"/>
    <x:row r="1565" ht="18" customHeight="1"/>
    <x:row r="1566" ht="18" customHeight="1"/>
    <x:row r="1567" ht="18" customHeight="1"/>
    <x:row r="1568" ht="18" customHeight="1"/>
    <x:row r="1569" ht="18" customHeight="1"/>
    <x:row r="1570" ht="18" customHeight="1"/>
    <x:row r="1571" ht="18" customHeight="1"/>
    <x:row r="1572" ht="18" customHeight="1"/>
    <x:row r="1573" ht="18" customHeight="1"/>
    <x:row r="1574" ht="18" customHeight="1"/>
    <x:row r="1575" ht="18" customHeight="1"/>
    <x:row r="1576" ht="18" customHeight="1"/>
    <x:row r="1577" ht="18" customHeight="1"/>
    <x:row r="1578" ht="18" customHeight="1"/>
    <x:row r="1579" ht="18" customHeight="1"/>
    <x:row r="1580" ht="18" customHeight="1"/>
    <x:row r="1581" ht="18" customHeight="1"/>
    <x:row r="1582" ht="18" customHeight="1"/>
    <x:row r="1583" ht="18" customHeight="1"/>
    <x:row r="1584" ht="18" customHeight="1"/>
    <x:row r="1585" ht="18" customHeight="1"/>
    <x:row r="1586" ht="18" customHeight="1"/>
    <x:row r="1587" ht="18" customHeight="1"/>
    <x:row r="1588" ht="18" customHeight="1"/>
    <x:row r="1589" ht="18" customHeight="1"/>
    <x:row r="1590" ht="18" customHeight="1"/>
    <x:row r="1591" ht="18" customHeight="1"/>
    <x:row r="1592" ht="18" customHeight="1"/>
    <x:row r="1593" ht="18" customHeight="1"/>
    <x:row r="1594" ht="18" customHeight="1"/>
    <x:row r="1595" ht="18" customHeight="1"/>
    <x:row r="1596" ht="18" customHeight="1"/>
    <x:row r="1597" ht="18" customHeight="1"/>
    <x:row r="1598" ht="18" customHeight="1"/>
    <x:row r="1599" ht="18" customHeight="1"/>
    <x:row r="1600" ht="18" customHeight="1"/>
    <x:row r="1601" ht="18" customHeight="1"/>
    <x:row r="1602" ht="18" customHeight="1"/>
    <x:row r="1603" ht="18" customHeight="1"/>
    <x:row r="1604" ht="18" customHeight="1"/>
    <x:row r="1605" ht="18" customHeight="1"/>
    <x:row r="1606" ht="18" customHeight="1"/>
    <x:row r="1607" ht="18" customHeight="1"/>
    <x:row r="1608" ht="18" customHeight="1"/>
    <x:row r="1609" ht="18" customHeight="1"/>
    <x:row r="1610" ht="18" customHeight="1"/>
    <x:row r="1611" ht="18" customHeight="1"/>
    <x:row r="1612" ht="18" customHeight="1"/>
    <x:row r="1613" ht="18" customHeight="1"/>
    <x:row r="1614" ht="18" customHeight="1"/>
    <x:row r="1615" ht="18" customHeight="1"/>
    <x:row r="1616" ht="18" customHeight="1"/>
    <x:row r="1617" ht="18" customHeight="1"/>
    <x:row r="1618" ht="18" customHeight="1"/>
    <x:row r="1619" ht="18" customHeight="1"/>
    <x:row r="1620" ht="18" customHeight="1"/>
    <x:row r="1621" ht="18" customHeight="1"/>
    <x:row r="1622" ht="18" customHeight="1"/>
    <x:row r="1623" ht="18" customHeight="1"/>
    <x:row r="1624" ht="18" customHeight="1"/>
    <x:row r="1625" ht="18" customHeight="1"/>
    <x:row r="1626" ht="18" customHeight="1"/>
    <x:row r="1627" ht="18" customHeight="1"/>
    <x:row r="1628" ht="18" customHeight="1"/>
    <x:row r="1629" ht="18" customHeight="1"/>
    <x:row r="1630" ht="18" customHeight="1"/>
    <x:row r="1631" ht="18" customHeight="1"/>
    <x:row r="1632" ht="18" customHeight="1"/>
    <x:row r="1633" ht="18" customHeight="1"/>
    <x:row r="1634" ht="18" customHeight="1"/>
    <x:row r="1635" ht="18" customHeight="1"/>
    <x:row r="1636" ht="18" customHeight="1"/>
    <x:row r="1637" ht="18" customHeight="1"/>
    <x:row r="1638" ht="18" customHeight="1"/>
    <x:row r="1639" ht="18" customHeight="1"/>
    <x:row r="1640" ht="18" customHeight="1"/>
    <x:row r="1641" ht="18" customHeight="1"/>
    <x:row r="1642" ht="18" customHeight="1"/>
    <x:row r="1643" ht="18" customHeight="1"/>
    <x:row r="1644" ht="18" customHeight="1"/>
    <x:row r="1645" ht="18" customHeight="1"/>
    <x:row r="1646" ht="18" customHeight="1"/>
    <x:row r="1647" ht="18" customHeight="1"/>
    <x:row r="1648" ht="18" customHeight="1"/>
    <x:row r="1649" ht="18" customHeight="1"/>
    <x:row r="1650" ht="18" customHeight="1"/>
    <x:row r="1651" ht="18" customHeight="1"/>
    <x:row r="1652" ht="18" customHeight="1"/>
    <x:row r="1653" ht="18" customHeight="1"/>
    <x:row r="1654" ht="18" customHeight="1"/>
    <x:row r="1655" ht="18" customHeight="1"/>
    <x:row r="1656" ht="18" customHeight="1"/>
    <x:row r="1657" ht="18" customHeight="1"/>
    <x:row r="1658" ht="18" customHeight="1"/>
    <x:row r="1659" ht="18" customHeight="1"/>
    <x:row r="1660" ht="18" customHeight="1"/>
    <x:row r="1661" ht="18" customHeight="1"/>
    <x:row r="1662" ht="18" customHeight="1"/>
    <x:row r="1663" ht="18" customHeight="1"/>
    <x:row r="1664" ht="18" customHeight="1"/>
    <x:row r="1665" ht="18" customHeight="1"/>
    <x:row r="1666" ht="18" customHeight="1"/>
    <x:row r="1667" ht="18" customHeight="1"/>
    <x:row r="1668" ht="18" customHeight="1"/>
    <x:row r="1669" ht="18" customHeight="1"/>
    <x:row r="1670" ht="18" customHeight="1"/>
    <x:row r="1671" ht="18" customHeight="1"/>
    <x:row r="1672" ht="18" customHeight="1"/>
    <x:row r="1673" ht="18" customHeight="1"/>
    <x:row r="1674" ht="18" customHeight="1"/>
    <x:row r="1675" ht="18" customHeight="1"/>
    <x:row r="1676" ht="18" customHeight="1"/>
    <x:row r="1677" ht="18" customHeight="1"/>
    <x:row r="1678" ht="18" customHeight="1"/>
    <x:row r="1679" ht="18" customHeight="1"/>
    <x:row r="1680" ht="18" customHeight="1"/>
    <x:row r="1681" ht="18" customHeight="1"/>
    <x:row r="1682" ht="18" customHeight="1"/>
    <x:row r="1683" ht="18" customHeight="1"/>
    <x:row r="1684" ht="18" customHeight="1"/>
    <x:row r="1685" ht="18" customHeight="1"/>
    <x:row r="1686" ht="18" customHeight="1"/>
    <x:row r="1687" ht="18" customHeight="1"/>
    <x:row r="1688" ht="18" customHeight="1"/>
    <x:row r="1689" ht="18" customHeight="1"/>
    <x:row r="1690" ht="18" customHeight="1"/>
    <x:row r="1691" ht="18" customHeight="1"/>
    <x:row r="1692" ht="18" customHeight="1"/>
    <x:row r="1693" ht="18" customHeight="1"/>
    <x:row r="1694" ht="18" customHeight="1"/>
    <x:row r="1695" ht="18" customHeight="1"/>
    <x:row r="1696" ht="18" customHeight="1"/>
    <x:row r="1697" ht="18" customHeight="1"/>
    <x:row r="1698" ht="18" customHeight="1"/>
    <x:row r="1699" ht="18" customHeight="1"/>
    <x:row r="1700" ht="18" customHeight="1"/>
    <x:row r="1701" ht="18" customHeight="1"/>
    <x:row r="1702" ht="18" customHeight="1"/>
    <x:row r="1703" ht="18" customHeight="1"/>
    <x:row r="1704" ht="18" customHeight="1"/>
    <x:row r="1705" ht="18" customHeight="1"/>
    <x:row r="1706" ht="18" customHeight="1"/>
    <x:row r="1707" ht="18" customHeight="1"/>
    <x:row r="1708" ht="18" customHeight="1"/>
    <x:row r="1709" ht="18" customHeight="1"/>
    <x:row r="1710" ht="18" customHeight="1"/>
    <x:row r="1711" ht="18" customHeight="1"/>
    <x:row r="1712" ht="18" customHeight="1"/>
    <x:row r="1713" ht="18" customHeight="1"/>
    <x:row r="1714" ht="18" customHeight="1"/>
    <x:row r="1715" ht="18" customHeight="1"/>
    <x:row r="1716" ht="18" customHeight="1"/>
    <x:row r="1717" ht="18" customHeight="1"/>
    <x:row r="1718" ht="18" customHeight="1"/>
    <x:row r="1719" ht="18" customHeight="1"/>
    <x:row r="1720" ht="18" customHeight="1"/>
    <x:row r="1721" ht="18" customHeight="1"/>
    <x:row r="1722" ht="18" customHeight="1"/>
    <x:row r="1723" ht="18" customHeight="1"/>
    <x:row r="1724" ht="18" customHeight="1"/>
    <x:row r="1725" ht="18" customHeight="1"/>
    <x:row r="1726" ht="18" customHeight="1"/>
    <x:row r="1727" ht="18" customHeight="1"/>
    <x:row r="1728" ht="18" customHeight="1"/>
    <x:row r="1729" ht="18" customHeight="1"/>
    <x:row r="1730" ht="18" customHeight="1"/>
    <x:row r="1731" ht="18" customHeight="1"/>
    <x:row r="1732" ht="18" customHeight="1"/>
    <x:row r="1733" ht="18" customHeight="1"/>
    <x:row r="1734" ht="18" customHeight="1"/>
    <x:row r="1735" ht="18" customHeight="1"/>
    <x:row r="1736" ht="18" customHeight="1"/>
    <x:row r="1737" ht="18" customHeight="1"/>
    <x:row r="1738" ht="18" customHeight="1"/>
    <x:row r="1739" ht="18" customHeight="1"/>
    <x:row r="1740" ht="18" customHeight="1"/>
    <x:row r="1741" ht="18" customHeight="1"/>
    <x:row r="1742" ht="18" customHeight="1"/>
    <x:row r="1743" ht="18" customHeight="1"/>
    <x:row r="1744" ht="18" customHeight="1"/>
    <x:row r="1745" ht="18" customHeight="1"/>
    <x:row r="1746" ht="18" customHeight="1"/>
    <x:row r="1747" ht="18" customHeight="1"/>
    <x:row r="1748" ht="18" customHeight="1"/>
    <x:row r="1749" ht="18" customHeight="1"/>
    <x:row r="1750" ht="18" customHeight="1"/>
    <x:row r="1751" ht="18" customHeight="1"/>
    <x:row r="1752" ht="18" customHeight="1"/>
    <x:row r="1753" ht="18" customHeight="1"/>
    <x:row r="1754" ht="18" customHeight="1"/>
    <x:row r="1755" ht="18" customHeight="1"/>
    <x:row r="1756" ht="18" customHeight="1"/>
    <x:row r="1757" ht="18" customHeight="1"/>
    <x:row r="1758" ht="18" customHeight="1"/>
    <x:row r="1759" ht="18" customHeight="1"/>
    <x:row r="1760" ht="18" customHeight="1"/>
    <x:row r="1761" ht="18" customHeight="1"/>
    <x:row r="1762" ht="18" customHeight="1"/>
    <x:row r="1763" ht="18" customHeight="1"/>
    <x:row r="1764" ht="18" customHeight="1"/>
    <x:row r="1765" ht="18" customHeight="1"/>
    <x:row r="1766" ht="18" customHeight="1"/>
    <x:row r="1767" ht="18" customHeight="1"/>
    <x:row r="1768" ht="18" customHeight="1"/>
    <x:row r="1769" ht="18" customHeight="1"/>
    <x:row r="1770" ht="18" customHeight="1"/>
    <x:row r="1771" ht="18" customHeight="1"/>
    <x:row r="1772" ht="18" customHeight="1"/>
    <x:row r="1773" ht="18" customHeight="1"/>
    <x:row r="1774" ht="18" customHeight="1"/>
    <x:row r="1775" ht="18" customHeight="1"/>
    <x:row r="1776" ht="18" customHeight="1"/>
    <x:row r="1777" ht="18" customHeight="1"/>
    <x:row r="1778" ht="18" customHeight="1"/>
    <x:row r="1779" ht="18" customHeight="1"/>
    <x:row r="1780" ht="18" customHeight="1"/>
    <x:row r="1781" ht="18" customHeight="1"/>
    <x:row r="1782" ht="18" customHeight="1"/>
    <x:row r="1783" ht="18" customHeight="1"/>
    <x:row r="1784" ht="18" customHeight="1"/>
    <x:row r="1785" ht="18" customHeight="1"/>
    <x:row r="1786" ht="18" customHeight="1"/>
    <x:row r="1787" ht="18" customHeight="1"/>
    <x:row r="1788" ht="18" customHeight="1"/>
    <x:row r="1789" ht="18" customHeight="1"/>
    <x:row r="1790" ht="18" customHeight="1"/>
    <x:row r="1791" ht="18" customHeight="1"/>
    <x:row r="1792" ht="18" customHeight="1"/>
    <x:row r="1793" ht="18" customHeight="1"/>
    <x:row r="1794" ht="18" customHeight="1"/>
    <x:row r="1795" ht="18" customHeight="1"/>
    <x:row r="1796" ht="18" customHeight="1"/>
    <x:row r="1797" ht="18" customHeight="1"/>
    <x:row r="1798" ht="18" customHeight="1"/>
    <x:row r="1799" ht="18" customHeight="1"/>
    <x:row r="1800" ht="18" customHeight="1"/>
    <x:row r="1801" ht="18" customHeight="1"/>
    <x:row r="1802" ht="18" customHeight="1"/>
    <x:row r="1803" ht="18" customHeight="1"/>
    <x:row r="1804" ht="18" customHeight="1"/>
    <x:row r="1805" ht="18" customHeight="1"/>
    <x:row r="1806" ht="18" customHeight="1"/>
    <x:row r="1807" ht="18" customHeight="1"/>
    <x:row r="1808" ht="18" customHeight="1"/>
    <x:row r="1809" ht="18" customHeight="1"/>
    <x:row r="1810" ht="18" customHeight="1"/>
    <x:row r="1811" ht="18" customHeight="1"/>
    <x:row r="1812" ht="18" customHeight="1"/>
    <x:row r="1813" ht="18" customHeight="1"/>
    <x:row r="1814" ht="18" customHeight="1"/>
    <x:row r="1815" ht="18" customHeight="1"/>
    <x:row r="1816" ht="18" customHeight="1"/>
    <x:row r="1817" ht="18" customHeight="1"/>
    <x:row r="1818" ht="18" customHeight="1"/>
    <x:row r="1819" ht="18" customHeight="1"/>
    <x:row r="1820" ht="18" customHeight="1"/>
    <x:row r="1821" ht="18" customHeight="1"/>
    <x:row r="1822" ht="18" customHeight="1"/>
    <x:row r="1823" ht="18" customHeight="1"/>
    <x:row r="1824" ht="18" customHeight="1"/>
    <x:row r="1825" ht="18" customHeight="1"/>
    <x:row r="1826" ht="18" customHeight="1"/>
    <x:row r="1827" ht="18" customHeight="1"/>
    <x:row r="1828" ht="18" customHeight="1"/>
    <x:row r="1829" ht="18" customHeight="1"/>
    <x:row r="1830" ht="18" customHeight="1"/>
    <x:row r="1831" ht="18" customHeight="1"/>
    <x:row r="1832" ht="18" customHeight="1"/>
    <x:row r="1833" ht="18" customHeight="1"/>
    <x:row r="1834" ht="18" customHeight="1"/>
    <x:row r="1835" ht="18" customHeight="1"/>
    <x:row r="1836" ht="18" customHeight="1"/>
    <x:row r="1837" ht="18" customHeight="1"/>
    <x:row r="1838" ht="18" customHeight="1"/>
    <x:row r="1839" ht="18" customHeight="1"/>
    <x:row r="1840" ht="18" customHeight="1"/>
    <x:row r="1841" ht="18" customHeight="1"/>
    <x:row r="1842" ht="18" customHeight="1"/>
    <x:row r="1843" ht="18" customHeight="1"/>
    <x:row r="1844" ht="18" customHeight="1"/>
    <x:row r="1845" ht="18" customHeight="1"/>
    <x:row r="1846" ht="18" customHeight="1"/>
    <x:row r="1847" ht="18" customHeight="1"/>
    <x:row r="1848" ht="18" customHeight="1"/>
    <x:row r="1849" ht="18" customHeight="1"/>
    <x:row r="1850" ht="18" customHeight="1"/>
    <x:row r="1851" ht="18" customHeight="1"/>
    <x:row r="1852" ht="18" customHeight="1"/>
    <x:row r="1853" ht="18" customHeight="1"/>
    <x:row r="1854" ht="18" customHeight="1"/>
    <x:row r="1855" ht="18" customHeight="1"/>
    <x:row r="1856" ht="18" customHeight="1"/>
    <x:row r="1857" ht="18" customHeight="1"/>
    <x:row r="1858" ht="18" customHeight="1"/>
    <x:row r="1859" ht="18" customHeight="1"/>
    <x:row r="1860" ht="18" customHeight="1"/>
    <x:row r="1861" ht="18" customHeight="1"/>
    <x:row r="1862" ht="18" customHeight="1"/>
    <x:row r="1863" ht="18" customHeight="1"/>
    <x:row r="1864" ht="18" customHeight="1"/>
    <x:row r="1865" ht="18" customHeight="1"/>
    <x:row r="1866" ht="18" customHeight="1"/>
    <x:row r="1867" ht="18" customHeight="1"/>
    <x:row r="1868" ht="18" customHeight="1"/>
    <x:row r="1869" ht="18" customHeight="1"/>
    <x:row r="1870" ht="18" customHeight="1"/>
    <x:row r="1871" ht="18" customHeight="1"/>
    <x:row r="1872" ht="18" customHeight="1"/>
    <x:row r="1873" ht="18" customHeight="1"/>
    <x:row r="1874" ht="18" customHeight="1"/>
    <x:row r="1875" ht="18" customHeight="1"/>
    <x:row r="1876" ht="18" customHeight="1"/>
    <x:row r="1877" ht="18" customHeight="1"/>
    <x:row r="1878" ht="18" customHeight="1"/>
    <x:row r="1879" ht="18" customHeight="1"/>
    <x:row r="1880" ht="18" customHeight="1"/>
    <x:row r="1881" ht="18" customHeight="1"/>
    <x:row r="1882" ht="18" customHeight="1"/>
    <x:row r="1883" ht="18" customHeight="1"/>
    <x:row r="1884" ht="18" customHeight="1"/>
    <x:row r="1885" ht="18" customHeight="1"/>
    <x:row r="1886" ht="18" customHeight="1"/>
    <x:row r="1887" ht="18" customHeight="1"/>
    <x:row r="1888" ht="18" customHeight="1"/>
    <x:row r="1889" ht="18" customHeight="1"/>
    <x:row r="1890" ht="18" customHeight="1"/>
    <x:row r="1891" ht="18" customHeight="1"/>
    <x:row r="1892" ht="18" customHeight="1"/>
    <x:row r="1893" ht="18" customHeight="1"/>
    <x:row r="1894" ht="18" customHeight="1"/>
    <x:row r="1895" ht="18" customHeight="1"/>
    <x:row r="1896" ht="18" customHeight="1"/>
    <x:row r="1897" ht="18" customHeight="1"/>
    <x:row r="1898" ht="18" customHeight="1"/>
    <x:row r="1899" ht="18" customHeight="1"/>
    <x:row r="1900" ht="18" customHeight="1"/>
    <x:row r="1901" ht="18" customHeight="1"/>
    <x:row r="1902" ht="18" customHeight="1"/>
    <x:row r="1903" ht="18" customHeight="1"/>
    <x:row r="1904" ht="18" customHeight="1"/>
    <x:row r="1905" ht="18" customHeight="1"/>
    <x:row r="1906" ht="18" customHeight="1"/>
    <x:row r="1907" ht="18" customHeight="1"/>
    <x:row r="1908" ht="18" customHeight="1"/>
    <x:row r="1909" ht="18" customHeight="1"/>
    <x:row r="1910" ht="18" customHeight="1"/>
    <x:row r="1911" ht="18" customHeight="1"/>
    <x:row r="1912" ht="18" customHeight="1"/>
    <x:row r="1913" ht="18" customHeight="1"/>
    <x:row r="1914" ht="18" customHeight="1"/>
    <x:row r="1915" ht="18" customHeight="1"/>
    <x:row r="1916" ht="18" customHeight="1"/>
    <x:row r="1917" ht="18" customHeight="1"/>
    <x:row r="1918" ht="18" customHeight="1"/>
    <x:row r="1919" ht="18" customHeight="1"/>
    <x:row r="1920" ht="18" customHeight="1"/>
    <x:row r="1921" ht="18" customHeight="1"/>
    <x:row r="1922" ht="18" customHeight="1"/>
    <x:row r="1923" ht="18" customHeight="1"/>
    <x:row r="1924" ht="18" customHeight="1"/>
    <x:row r="1925" ht="18" customHeight="1"/>
    <x:row r="1926" ht="18" customHeight="1"/>
    <x:row r="1927" ht="18" customHeight="1"/>
    <x:row r="1928" ht="18" customHeight="1"/>
    <x:row r="1929" ht="18" customHeight="1"/>
    <x:row r="1930" ht="18" customHeight="1"/>
    <x:row r="1931" ht="18" customHeight="1"/>
    <x:row r="1932" ht="18" customHeight="1"/>
    <x:row r="1933" ht="18" customHeight="1"/>
    <x:row r="1934" ht="18" customHeight="1"/>
    <x:row r="1935" ht="18" customHeight="1"/>
    <x:row r="1936" ht="18" customHeight="1"/>
    <x:row r="1937" ht="18" customHeight="1"/>
    <x:row r="1938" ht="18" customHeight="1"/>
    <x:row r="1939" ht="18" customHeight="1"/>
    <x:row r="1940" ht="18" customHeight="1"/>
    <x:row r="1941" ht="18" customHeight="1"/>
    <x:row r="1942" ht="18" customHeight="1"/>
    <x:row r="1943" ht="18" customHeight="1"/>
    <x:row r="1944" ht="18" customHeight="1"/>
    <x:row r="1945" ht="18" customHeight="1"/>
    <x:row r="1946" ht="18" customHeight="1"/>
    <x:row r="1947" ht="18" customHeight="1"/>
    <x:row r="1948" ht="18" customHeight="1"/>
    <x:row r="1949" ht="18" customHeight="1"/>
    <x:row r="1950" ht="18" customHeight="1"/>
    <x:row r="1951" ht="18" customHeight="1"/>
    <x:row r="1952" ht="18" customHeight="1"/>
    <x:row r="1953" ht="18" customHeight="1"/>
    <x:row r="1954" ht="18" customHeight="1"/>
    <x:row r="1955" ht="18" customHeight="1"/>
    <x:row r="1956" ht="18" customHeight="1"/>
    <x:row r="1957" ht="18" customHeight="1"/>
    <x:row r="1958" ht="18" customHeight="1"/>
    <x:row r="1959" ht="18" customHeight="1"/>
    <x:row r="1960" ht="18" customHeight="1"/>
    <x:row r="1961" ht="18" customHeight="1"/>
    <x:row r="1962" ht="18" customHeight="1"/>
    <x:row r="1963" ht="18" customHeight="1"/>
    <x:row r="1964" ht="18" customHeight="1"/>
    <x:row r="1965" ht="18" customHeight="1"/>
    <x:row r="1966" ht="18" customHeight="1"/>
    <x:row r="1967" ht="18" customHeight="1"/>
    <x:row r="1968" ht="18" customHeight="1"/>
    <x:row r="1969" ht="18" customHeight="1"/>
    <x:row r="1970" ht="18" customHeight="1"/>
    <x:row r="1971" ht="18" customHeight="1"/>
    <x:row r="1972" ht="18" customHeight="1"/>
    <x:row r="1973" ht="18" customHeight="1"/>
    <x:row r="1974" ht="18" customHeight="1"/>
    <x:row r="1975" ht="18" customHeight="1"/>
    <x:row r="1976" ht="18" customHeight="1"/>
    <x:row r="1977" ht="18" customHeight="1"/>
    <x:row r="1978" ht="18" customHeight="1"/>
    <x:row r="1979" ht="18" customHeight="1"/>
    <x:row r="1980" ht="18" customHeight="1"/>
    <x:row r="1981" ht="18" customHeight="1"/>
    <x:row r="1982" ht="18" customHeight="1"/>
    <x:row r="1983" ht="18" customHeight="1"/>
    <x:row r="1984" ht="18" customHeight="1"/>
    <x:row r="1985" ht="18" customHeight="1"/>
    <x:row r="1986" ht="18" customHeight="1"/>
    <x:row r="1987" ht="18" customHeight="1"/>
    <x:row r="1988" ht="18" customHeight="1"/>
    <x:row r="1989" ht="18" customHeight="1"/>
    <x:row r="1990" ht="18" customHeight="1"/>
    <x:row r="1991" ht="18" customHeight="1"/>
    <x:row r="1992" ht="18" customHeight="1"/>
    <x:row r="1993" ht="18" customHeight="1"/>
    <x:row r="1994" ht="18" customHeight="1"/>
    <x:row r="1995" ht="18" customHeight="1"/>
    <x:row r="1996" ht="18" customHeight="1"/>
    <x:row r="1997" ht="18" customHeight="1"/>
    <x:row r="1998" ht="18" customHeight="1"/>
    <x:row r="1999" ht="18" customHeight="1"/>
    <x:row r="2000" ht="18" customHeight="1"/>
    <x:row r="2001" ht="18" customHeight="1"/>
    <x:row r="2002" ht="18" customHeight="1"/>
    <x:row r="2003" ht="18" customHeight="1"/>
    <x:row r="2004" ht="18" customHeight="1"/>
    <x:row r="2005" ht="18" customHeight="1"/>
    <x:row r="2006" ht="18" customHeight="1"/>
    <x:row r="2007" ht="18" customHeight="1"/>
    <x:row r="2008" ht="18" customHeight="1"/>
    <x:row r="2009" ht="18" customHeight="1"/>
    <x:row r="2010" ht="18" customHeight="1"/>
    <x:row r="2011" ht="18" customHeight="1"/>
    <x:row r="2012" ht="18" customHeight="1"/>
    <x:row r="2013" ht="18" customHeight="1"/>
    <x:row r="2014" ht="18" customHeight="1"/>
    <x:row r="2015" ht="18" customHeight="1"/>
    <x:row r="2016" ht="18" customHeight="1"/>
    <x:row r="2017" ht="18" customHeight="1"/>
    <x:row r="2018" ht="18" customHeight="1"/>
    <x:row r="2019" ht="18" customHeight="1"/>
    <x:row r="2020" ht="18" customHeight="1"/>
    <x:row r="2021" ht="18" customHeight="1"/>
    <x:row r="2022" ht="18" customHeight="1"/>
    <x:row r="2023" ht="18" customHeight="1"/>
    <x:row r="2024" ht="18" customHeight="1"/>
    <x:row r="2025" ht="18" customHeight="1"/>
    <x:row r="2026" ht="18" customHeight="1"/>
    <x:row r="2027" ht="18" customHeight="1"/>
    <x:row r="2028" ht="18" customHeight="1"/>
    <x:row r="2029" ht="18" customHeight="1"/>
    <x:row r="2030" ht="18" customHeight="1"/>
    <x:row r="2031" ht="18" customHeight="1"/>
    <x:row r="2032" ht="18" customHeight="1"/>
    <x:row r="2033" ht="18" customHeight="1"/>
    <x:row r="2034" ht="18" customHeight="1"/>
    <x:row r="2035" ht="18" customHeight="1"/>
    <x:row r="2036" ht="18" customHeight="1"/>
    <x:row r="2037" ht="18" customHeight="1"/>
    <x:row r="2038" ht="18" customHeight="1"/>
    <x:row r="2039" ht="18" customHeight="1"/>
    <x:row r="2040" ht="18" customHeight="1"/>
    <x:row r="2041" ht="18" customHeight="1"/>
    <x:row r="2042" ht="18" customHeight="1"/>
    <x:row r="2043" ht="18" customHeight="1"/>
    <x:row r="2044" ht="18" customHeight="1"/>
    <x:row r="2045" ht="18" customHeight="1"/>
    <x:row r="2046" ht="18" customHeight="1"/>
    <x:row r="2047" ht="18" customHeight="1"/>
    <x:row r="2048" ht="18" customHeight="1"/>
    <x:row r="2049" ht="18" customHeight="1"/>
    <x:row r="2050" ht="18" customHeight="1"/>
    <x:row r="2051" ht="18" customHeight="1"/>
    <x:row r="2052" ht="18" customHeight="1"/>
    <x:row r="2053" ht="18" customHeight="1"/>
    <x:row r="2054" ht="18" customHeight="1"/>
    <x:row r="2055" ht="18" customHeight="1"/>
    <x:row r="2056" ht="18" customHeight="1"/>
    <x:row r="2057" ht="18" customHeight="1"/>
    <x:row r="2058" ht="18" customHeight="1"/>
    <x:row r="2059" ht="18" customHeight="1"/>
    <x:row r="2060" ht="18" customHeight="1"/>
    <x:row r="2061" ht="18" customHeight="1"/>
    <x:row r="2062" ht="18" customHeight="1"/>
    <x:row r="2063" ht="18" customHeight="1"/>
    <x:row r="2064" ht="18" customHeight="1"/>
    <x:row r="2065" ht="18" customHeight="1"/>
    <x:row r="2066" ht="18" customHeight="1"/>
    <x:row r="2067" ht="18" customHeight="1"/>
    <x:row r="2068" ht="18" customHeight="1"/>
    <x:row r="2069" ht="18" customHeight="1"/>
    <x:row r="2070" ht="18" customHeight="1"/>
    <x:row r="2071" ht="18" customHeight="1"/>
    <x:row r="2072" ht="18" customHeight="1"/>
    <x:row r="2073" ht="18" customHeight="1"/>
    <x:row r="2074" ht="18" customHeight="1"/>
    <x:row r="2075" ht="18" customHeight="1"/>
    <x:row r="2076" ht="18" customHeight="1"/>
    <x:row r="2077" ht="18" customHeight="1"/>
    <x:row r="2078" ht="18" customHeight="1"/>
    <x:row r="2079" ht="18" customHeight="1"/>
    <x:row r="2080" ht="18" customHeight="1"/>
    <x:row r="2081" ht="18" customHeight="1"/>
    <x:row r="2082" ht="18" customHeight="1"/>
    <x:row r="2083" ht="18" customHeight="1"/>
    <x:row r="2084" ht="18" customHeight="1"/>
    <x:row r="2085" ht="18" customHeight="1"/>
    <x:row r="2086" ht="18" customHeight="1"/>
    <x:row r="2087" ht="18" customHeight="1"/>
    <x:row r="2088" ht="18" customHeight="1"/>
    <x:row r="2089" ht="18" customHeight="1"/>
    <x:row r="2090" ht="18" customHeight="1"/>
    <x:row r="2091" ht="18" customHeight="1"/>
    <x:row r="2092" ht="18" customHeight="1"/>
    <x:row r="2093" ht="18" customHeight="1"/>
    <x:row r="2094" ht="18" customHeight="1"/>
    <x:row r="2095" ht="18" customHeight="1"/>
    <x:row r="2096" ht="18" customHeight="1"/>
    <x:row r="2097" ht="18" customHeight="1"/>
    <x:row r="2098" ht="18" customHeight="1"/>
    <x:row r="2099" ht="18" customHeight="1"/>
    <x:row r="2100" ht="18" customHeight="1"/>
    <x:row r="2101" ht="18" customHeight="1"/>
    <x:row r="2102" ht="18" customHeight="1"/>
    <x:row r="2103" ht="18" customHeight="1"/>
    <x:row r="2104" ht="18" customHeight="1"/>
    <x:row r="2105" ht="18" customHeight="1"/>
    <x:row r="2106" ht="18" customHeight="1"/>
    <x:row r="2107" ht="18" customHeight="1"/>
    <x:row r="2108" ht="18" customHeight="1"/>
    <x:row r="2109" ht="18" customHeight="1"/>
    <x:row r="2110" ht="18" customHeight="1"/>
    <x:row r="2111" ht="18" customHeight="1"/>
    <x:row r="2112" ht="18" customHeight="1"/>
    <x:row r="2113" ht="18" customHeight="1"/>
    <x:row r="2114" ht="18" customHeight="1"/>
    <x:row r="2115" ht="18" customHeight="1"/>
    <x:row r="2116" ht="18" customHeight="1"/>
    <x:row r="2117" ht="18" customHeight="1"/>
    <x:row r="2118" ht="18" customHeight="1"/>
    <x:row r="2119" ht="18" customHeight="1"/>
    <x:row r="2120" ht="18" customHeight="1"/>
    <x:row r="2121" ht="18" customHeight="1"/>
    <x:row r="2122" ht="18" customHeight="1"/>
    <x:row r="2123" ht="18" customHeight="1"/>
    <x:row r="2124" ht="18" customHeight="1"/>
    <x:row r="2125" ht="18" customHeight="1"/>
    <x:row r="2126" ht="18" customHeight="1"/>
    <x:row r="2127" ht="18" customHeight="1"/>
    <x:row r="2128" ht="18" customHeight="1"/>
    <x:row r="2129" ht="18" customHeight="1"/>
    <x:row r="2130" ht="18" customHeight="1"/>
    <x:row r="2131" ht="18" customHeight="1"/>
    <x:row r="2132" ht="18" customHeight="1"/>
    <x:row r="2133" ht="18" customHeight="1"/>
    <x:row r="2134" ht="18" customHeight="1"/>
    <x:row r="2135" ht="18" customHeight="1"/>
    <x:row r="2136" ht="18" customHeight="1"/>
    <x:row r="2137" ht="18" customHeight="1"/>
    <x:row r="2138" ht="18" customHeight="1"/>
    <x:row r="2139" ht="18" customHeight="1"/>
    <x:row r="2140" ht="18" customHeight="1"/>
    <x:row r="2141" ht="18" customHeight="1"/>
    <x:row r="2142" ht="18" customHeight="1"/>
    <x:row r="2143" ht="18" customHeight="1"/>
    <x:row r="2144" ht="18" customHeight="1"/>
    <x:row r="2145" ht="18" customHeight="1"/>
    <x:row r="2146" ht="18" customHeight="1"/>
    <x:row r="2147" ht="18" customHeight="1"/>
    <x:row r="2148" ht="18" customHeight="1"/>
    <x:row r="2149" ht="18" customHeight="1"/>
    <x:row r="2150" ht="18" customHeight="1"/>
    <x:row r="2151" ht="18" customHeight="1"/>
    <x:row r="2152" ht="18" customHeight="1"/>
    <x:row r="2153" ht="18" customHeight="1"/>
    <x:row r="2154" ht="18" customHeight="1"/>
    <x:row r="2155" ht="18" customHeight="1"/>
    <x:row r="2156" ht="18" customHeight="1"/>
    <x:row r="2157" ht="18" customHeight="1"/>
    <x:row r="2158" ht="18" customHeight="1"/>
    <x:row r="2159" ht="18" customHeight="1"/>
    <x:row r="2160" ht="18" customHeight="1"/>
    <x:row r="2161" ht="18" customHeight="1"/>
    <x:row r="2162" ht="18" customHeight="1"/>
    <x:row r="2163" ht="18" customHeight="1"/>
    <x:row r="2164" ht="18" customHeight="1"/>
    <x:row r="2165" ht="18" customHeight="1"/>
    <x:row r="2166" ht="18" customHeight="1"/>
    <x:row r="2167" ht="18" customHeight="1"/>
    <x:row r="2168" ht="18" customHeight="1"/>
    <x:row r="2169" ht="18" customHeight="1"/>
    <x:row r="2170" ht="18" customHeight="1"/>
    <x:row r="2171" ht="18" customHeight="1"/>
    <x:row r="2172" ht="18" customHeight="1"/>
    <x:row r="2173" ht="18" customHeight="1"/>
    <x:row r="2174" ht="18" customHeight="1"/>
    <x:row r="2175" ht="18" customHeight="1"/>
    <x:row r="2176" ht="18" customHeight="1"/>
    <x:row r="2177" ht="18" customHeight="1"/>
    <x:row r="2178" ht="18" customHeight="1"/>
    <x:row r="2179" ht="18" customHeight="1"/>
    <x:row r="2180" ht="18" customHeight="1"/>
    <x:row r="2181" ht="18" customHeight="1"/>
    <x:row r="2182" ht="18" customHeight="1"/>
    <x:row r="2183" ht="18" customHeight="1"/>
    <x:row r="2184" ht="18" customHeight="1"/>
    <x:row r="2185" ht="18" customHeight="1"/>
    <x:row r="2186" ht="18" customHeight="1"/>
    <x:row r="2187" ht="18" customHeight="1"/>
    <x:row r="2188" ht="18" customHeight="1"/>
    <x:row r="2189" ht="18" customHeight="1"/>
    <x:row r="2190" ht="18" customHeight="1"/>
    <x:row r="2191" ht="18" customHeight="1"/>
    <x:row r="2192" ht="18" customHeight="1"/>
    <x:row r="2193" ht="18" customHeight="1"/>
    <x:row r="2194" ht="18" customHeight="1"/>
    <x:row r="2195" ht="18" customHeight="1"/>
    <x:row r="2196" ht="18" customHeight="1"/>
    <x:row r="2197" ht="18" customHeight="1"/>
    <x:row r="2198" ht="18" customHeight="1"/>
    <x:row r="2199" ht="18" customHeight="1"/>
    <x:row r="2200" ht="18" customHeight="1"/>
    <x:row r="2201" ht="18" customHeight="1"/>
    <x:row r="2202" ht="18" customHeight="1"/>
    <x:row r="2203" ht="18" customHeight="1"/>
    <x:row r="2204" ht="18" customHeight="1"/>
    <x:row r="2205" ht="18" customHeight="1"/>
    <x:row r="2206" ht="18" customHeight="1"/>
    <x:row r="2207" ht="18" customHeight="1"/>
    <x:row r="2208" ht="18" customHeight="1"/>
    <x:row r="2209" ht="18" customHeight="1"/>
    <x:row r="2210" ht="18" customHeight="1"/>
    <x:row r="2211" ht="18" customHeight="1"/>
    <x:row r="2212" ht="18" customHeight="1"/>
    <x:row r="2213" ht="18" customHeight="1"/>
    <x:row r="2214" ht="18" customHeight="1"/>
    <x:row r="2215" ht="18" customHeight="1"/>
    <x:row r="2216" ht="18" customHeight="1"/>
    <x:row r="2217" ht="18" customHeight="1"/>
    <x:row r="2218" ht="18" customHeight="1"/>
    <x:row r="2219" ht="18" customHeight="1"/>
    <x:row r="2220" ht="18" customHeight="1"/>
    <x:row r="2221" ht="18" customHeight="1"/>
    <x:row r="2222" ht="18" customHeight="1"/>
    <x:row r="2223" ht="18" customHeight="1"/>
    <x:row r="2224" ht="18" customHeight="1"/>
    <x:row r="2225" ht="18" customHeight="1"/>
    <x:row r="2226" ht="18" customHeight="1"/>
    <x:row r="2227" ht="18" customHeight="1"/>
    <x:row r="2228" ht="18" customHeight="1"/>
    <x:row r="2229" ht="18" customHeight="1"/>
    <x:row r="2230" ht="18" customHeight="1"/>
    <x:row r="2231" ht="18" customHeight="1"/>
    <x:row r="2232" ht="18" customHeight="1"/>
    <x:row r="2233" ht="18" customHeight="1"/>
    <x:row r="2234" ht="18" customHeight="1"/>
    <x:row r="2235" ht="18" customHeight="1"/>
    <x:row r="2236" ht="18" customHeight="1"/>
    <x:row r="2237" ht="18" customHeight="1"/>
    <x:row r="2238" ht="18" customHeight="1"/>
    <x:row r="2239" ht="18" customHeight="1"/>
    <x:row r="2240" ht="18" customHeight="1"/>
    <x:row r="2241" ht="18" customHeight="1"/>
    <x:row r="2242" ht="18" customHeight="1"/>
    <x:row r="2243" ht="18" customHeight="1"/>
    <x:row r="2244" ht="18" customHeight="1"/>
    <x:row r="2245" ht="18" customHeight="1"/>
    <x:row r="2246" ht="18" customHeight="1"/>
    <x:row r="2247" ht="18" customHeight="1"/>
    <x:row r="2248" ht="18" customHeight="1"/>
    <x:row r="2249" ht="18" customHeight="1"/>
    <x:row r="2250" ht="18" customHeight="1"/>
    <x:row r="2251" ht="18" customHeight="1"/>
    <x:row r="2252" ht="18" customHeight="1"/>
    <x:row r="2253" ht="18" customHeight="1"/>
    <x:row r="2254" ht="18" customHeight="1"/>
    <x:row r="2255" ht="18" customHeight="1"/>
    <x:row r="2256" ht="18" customHeight="1"/>
    <x:row r="2257" ht="18" customHeight="1"/>
    <x:row r="2258" ht="18" customHeight="1"/>
    <x:row r="2259" ht="18" customHeight="1"/>
    <x:row r="2260" ht="18" customHeight="1"/>
    <x:row r="2261" ht="18" customHeight="1"/>
    <x:row r="2262" ht="18" customHeight="1"/>
    <x:row r="2263" ht="18" customHeight="1"/>
    <x:row r="2264" ht="18" customHeight="1"/>
    <x:row r="2265" ht="18" customHeight="1"/>
    <x:row r="2266" ht="18" customHeight="1"/>
    <x:row r="2267" ht="18" customHeight="1"/>
    <x:row r="2268" ht="18" customHeight="1"/>
    <x:row r="2269" ht="18" customHeight="1"/>
    <x:row r="2270" ht="18" customHeight="1"/>
    <x:row r="2271" ht="18" customHeight="1"/>
    <x:row r="2272" ht="18" customHeight="1"/>
    <x:row r="2273" ht="18" customHeight="1"/>
    <x:row r="2274" ht="18" customHeight="1"/>
    <x:row r="2275" ht="18" customHeight="1"/>
    <x:row r="2276" ht="18" customHeight="1"/>
    <x:row r="2277" ht="18" customHeight="1"/>
    <x:row r="2278" ht="18" customHeight="1"/>
    <x:row r="2279" ht="18" customHeight="1"/>
    <x:row r="2280" ht="18" customHeight="1"/>
    <x:row r="2281" ht="18" customHeight="1"/>
    <x:row r="2282" ht="18" customHeight="1"/>
    <x:row r="2283" ht="18" customHeight="1"/>
    <x:row r="2284" ht="18" customHeight="1"/>
    <x:row r="2285" ht="18" customHeight="1"/>
    <x:row r="2286" ht="18" customHeight="1"/>
    <x:row r="2287" ht="18" customHeight="1"/>
    <x:row r="2288" ht="18" customHeight="1"/>
    <x:row r="2289" ht="18" customHeight="1"/>
    <x:row r="2290" ht="18" customHeight="1"/>
    <x:row r="2291" ht="18" customHeight="1"/>
    <x:row r="2292" ht="18" customHeight="1"/>
    <x:row r="2293" ht="18" customHeight="1"/>
    <x:row r="2294" ht="18" customHeight="1"/>
    <x:row r="2295" ht="18" customHeight="1"/>
    <x:row r="2296" ht="18" customHeight="1"/>
    <x:row r="2297" ht="18" customHeight="1"/>
    <x:row r="2298" ht="18" customHeight="1"/>
    <x:row r="2299" ht="18" customHeight="1"/>
    <x:row r="2300" ht="18" customHeight="1"/>
    <x:row r="2301" ht="18" customHeight="1"/>
    <x:row r="2302" ht="18" customHeight="1"/>
    <x:row r="2303" ht="18" customHeight="1"/>
    <x:row r="2304" ht="18" customHeight="1"/>
    <x:row r="2305" ht="18" customHeight="1"/>
    <x:row r="2306" ht="18" customHeight="1"/>
    <x:row r="2307" ht="18" customHeight="1"/>
    <x:row r="2308" ht="18" customHeight="1"/>
    <x:row r="2309" ht="18" customHeight="1"/>
    <x:row r="2310" ht="18" customHeight="1"/>
    <x:row r="2311" ht="18" customHeight="1"/>
    <x:row r="2312" ht="18" customHeight="1"/>
    <x:row r="2313" ht="18" customHeight="1"/>
    <x:row r="2314" ht="18" customHeight="1"/>
    <x:row r="2315" ht="18" customHeight="1"/>
    <x:row r="2316" ht="18" customHeight="1"/>
    <x:row r="2317" ht="18" customHeight="1"/>
    <x:row r="2318" ht="18" customHeight="1"/>
    <x:row r="2319" ht="18" customHeight="1"/>
    <x:row r="2320" ht="18" customHeight="1"/>
    <x:row r="2321" ht="18" customHeight="1"/>
    <x:row r="2322" ht="18" customHeight="1"/>
    <x:row r="2323" ht="18" customHeight="1"/>
    <x:row r="2324" ht="18" customHeight="1"/>
    <x:row r="2325" ht="18" customHeight="1"/>
    <x:row r="2326" ht="18" customHeight="1"/>
    <x:row r="2327" ht="18" customHeight="1"/>
    <x:row r="2328" ht="18" customHeight="1"/>
    <x:row r="2329" ht="18" customHeight="1"/>
    <x:row r="2330" ht="18" customHeight="1"/>
    <x:row r="2331" ht="18" customHeight="1"/>
    <x:row r="2332" ht="18" customHeight="1"/>
    <x:row r="2333" ht="18" customHeight="1"/>
    <x:row r="2334" ht="18" customHeight="1"/>
    <x:row r="2335" ht="18" customHeight="1"/>
    <x:row r="2336" ht="18" customHeight="1"/>
    <x:row r="2337" ht="18" customHeight="1"/>
    <x:row r="2338" ht="18" customHeight="1"/>
    <x:row r="2339" ht="18" customHeight="1"/>
    <x:row r="2340" ht="18" customHeight="1"/>
    <x:row r="2341" ht="18" customHeight="1"/>
    <x:row r="2342" ht="18" customHeight="1"/>
    <x:row r="2343" ht="18" customHeight="1"/>
    <x:row r="2344" ht="18" customHeight="1"/>
    <x:row r="2345" ht="18" customHeight="1"/>
    <x:row r="2346" ht="18" customHeight="1"/>
    <x:row r="2347" ht="18" customHeight="1"/>
    <x:row r="2348" ht="18" customHeight="1"/>
    <x:row r="2349" ht="18" customHeight="1"/>
    <x:row r="2350" ht="18" customHeight="1"/>
    <x:row r="2351" ht="18" customHeight="1"/>
    <x:row r="2352" ht="18" customHeight="1"/>
    <x:row r="2353" ht="18" customHeight="1"/>
    <x:row r="2354" ht="18" customHeight="1"/>
    <x:row r="2355" ht="18" customHeight="1"/>
    <x:row r="2356" ht="18" customHeight="1"/>
    <x:row r="2357" ht="18" customHeight="1"/>
    <x:row r="2358" ht="18" customHeight="1"/>
    <x:row r="2359" ht="18" customHeight="1"/>
    <x:row r="2360" ht="18" customHeight="1"/>
    <x:row r="2361" ht="18" customHeight="1"/>
    <x:row r="2362" ht="18" customHeight="1"/>
    <x:row r="2363" ht="18" customHeight="1"/>
    <x:row r="2364" ht="18" customHeight="1"/>
    <x:row r="2365" ht="18" customHeight="1"/>
    <x:row r="2366" ht="18" customHeight="1"/>
    <x:row r="2367" ht="18" customHeight="1"/>
    <x:row r="2368" ht="18" customHeight="1"/>
    <x:row r="2369" ht="18" customHeight="1"/>
    <x:row r="2370" ht="18" customHeight="1"/>
    <x:row r="2371" ht="18" customHeight="1"/>
    <x:row r="2372" ht="18" customHeight="1"/>
    <x:row r="2373" ht="18" customHeight="1"/>
    <x:row r="2374" ht="18" customHeight="1"/>
    <x:row r="2375" ht="18" customHeight="1"/>
    <x:row r="2376" ht="18" customHeight="1"/>
    <x:row r="2377" ht="18" customHeight="1"/>
    <x:row r="2378" ht="18" customHeight="1"/>
    <x:row r="2379" ht="18" customHeight="1"/>
    <x:row r="2380" ht="18" customHeight="1"/>
    <x:row r="2381" ht="18" customHeight="1"/>
    <x:row r="2382" ht="18" customHeight="1"/>
    <x:row r="2383" ht="18" customHeight="1"/>
    <x:row r="2384" ht="18" customHeight="1"/>
    <x:row r="2385" ht="18" customHeight="1"/>
    <x:row r="2386" ht="18" customHeight="1"/>
    <x:row r="2387" ht="18" customHeight="1"/>
    <x:row r="2388" ht="18" customHeight="1"/>
    <x:row r="2389" ht="18" customHeight="1"/>
    <x:row r="2390" ht="18" customHeight="1"/>
    <x:row r="2391" ht="18" customHeight="1"/>
    <x:row r="2392" ht="18" customHeight="1"/>
    <x:row r="2393" ht="18" customHeight="1"/>
    <x:row r="2394" ht="18" customHeight="1"/>
    <x:row r="2395" ht="18" customHeight="1"/>
    <x:row r="2396" ht="18" customHeight="1"/>
    <x:row r="2397" ht="18" customHeight="1"/>
    <x:row r="2398" ht="18" customHeight="1"/>
    <x:row r="2399" ht="18" customHeight="1"/>
    <x:row r="2400" ht="18" customHeight="1"/>
    <x:row r="2401" ht="18" customHeight="1"/>
    <x:row r="2402" ht="18" customHeight="1"/>
    <x:row r="2403" ht="18" customHeight="1"/>
    <x:row r="2404" ht="18" customHeight="1"/>
    <x:row r="2405" ht="18" customHeight="1"/>
    <x:row r="2406" ht="18" customHeight="1"/>
    <x:row r="2407" ht="18" customHeight="1"/>
    <x:row r="2408" ht="18" customHeight="1"/>
    <x:row r="2409" ht="18" customHeight="1"/>
    <x:row r="2410" ht="18" customHeight="1"/>
    <x:row r="2411" ht="18" customHeight="1"/>
    <x:row r="2412" ht="18" customHeight="1"/>
    <x:row r="2413" ht="18" customHeight="1"/>
    <x:row r="2414" ht="18" customHeight="1"/>
    <x:row r="2415" ht="18" customHeight="1"/>
    <x:row r="2416" ht="18" customHeight="1"/>
    <x:row r="2417" ht="18" customHeight="1"/>
    <x:row r="2418" ht="18" customHeight="1"/>
    <x:row r="2419" ht="18" customHeight="1"/>
    <x:row r="2420" ht="18" customHeight="1"/>
    <x:row r="2421" ht="18" customHeight="1"/>
    <x:row r="2422" ht="18" customHeight="1"/>
    <x:row r="2423" ht="18" customHeight="1"/>
    <x:row r="2424" ht="18" customHeight="1"/>
    <x:row r="2425" ht="18" customHeight="1"/>
    <x:row r="2426" ht="18" customHeight="1"/>
    <x:row r="2427" ht="18" customHeight="1"/>
    <x:row r="2428" ht="18" customHeight="1"/>
    <x:row r="2429" ht="18" customHeight="1"/>
    <x:row r="2430" ht="18" customHeight="1"/>
    <x:row r="2431" ht="18" customHeight="1"/>
    <x:row r="2432" ht="18" customHeight="1"/>
    <x:row r="2433" ht="18" customHeight="1"/>
    <x:row r="2434" ht="18" customHeight="1"/>
    <x:row r="2435" ht="18" customHeight="1"/>
    <x:row r="2436" ht="18" customHeight="1"/>
    <x:row r="2437" ht="18" customHeight="1"/>
    <x:row r="2438" ht="18" customHeight="1"/>
    <x:row r="2439" ht="18" customHeight="1"/>
    <x:row r="2440" ht="18" customHeight="1"/>
    <x:row r="2441" ht="18" customHeight="1"/>
    <x:row r="2442" ht="18" customHeight="1"/>
    <x:row r="2443" ht="18" customHeight="1"/>
    <x:row r="2444" ht="18" customHeight="1"/>
    <x:row r="2445" ht="18" customHeight="1"/>
    <x:row r="2446" ht="18" customHeight="1"/>
    <x:row r="2447" ht="18" customHeight="1"/>
    <x:row r="2448" ht="18" customHeight="1"/>
    <x:row r="2449" ht="18" customHeight="1"/>
    <x:row r="2450" ht="18" customHeight="1"/>
    <x:row r="2451" ht="18" customHeight="1"/>
    <x:row r="2452" ht="18" customHeight="1"/>
    <x:row r="2453" ht="18" customHeight="1"/>
    <x:row r="2454" ht="18" customHeight="1"/>
    <x:row r="2455" ht="18" customHeight="1"/>
    <x:row r="2456" ht="18" customHeight="1"/>
    <x:row r="2457" ht="18" customHeight="1"/>
    <x:row r="2458" ht="18" customHeight="1"/>
    <x:row r="2459" ht="18" customHeight="1"/>
    <x:row r="2460" ht="18" customHeight="1"/>
    <x:row r="2461" ht="18" customHeight="1"/>
    <x:row r="2462" ht="18" customHeight="1"/>
    <x:row r="2463" ht="18" customHeight="1"/>
    <x:row r="2464" ht="18" customHeight="1"/>
    <x:row r="2465" ht="18" customHeight="1"/>
    <x:row r="2466" ht="18" customHeight="1"/>
    <x:row r="2467" ht="18" customHeight="1"/>
    <x:row r="2468" ht="18" customHeight="1"/>
    <x:row r="2469" ht="18" customHeight="1"/>
    <x:row r="2470" ht="18" customHeight="1"/>
    <x:row r="2471" ht="18" customHeight="1"/>
    <x:row r="2472" ht="18" customHeight="1"/>
    <x:row r="2473" ht="18" customHeight="1"/>
    <x:row r="2474" ht="18" customHeight="1"/>
    <x:row r="2475" ht="18" customHeight="1"/>
    <x:row r="2476" ht="18" customHeight="1"/>
    <x:row r="2477" ht="18" customHeight="1"/>
    <x:row r="2478" ht="18" customHeight="1"/>
    <x:row r="2479" ht="18" customHeight="1"/>
    <x:row r="2480" ht="18" customHeight="1"/>
    <x:row r="2481" ht="18" customHeight="1"/>
    <x:row r="2482" ht="18" customHeight="1"/>
    <x:row r="2483" ht="18" customHeight="1"/>
    <x:row r="2484" ht="18" customHeight="1"/>
    <x:row r="2485" ht="18" customHeight="1"/>
    <x:row r="2486" ht="18" customHeight="1"/>
    <x:row r="2487" ht="18" customHeight="1"/>
    <x:row r="2488" ht="18" customHeight="1"/>
    <x:row r="2489" ht="18" customHeight="1"/>
    <x:row r="2490" ht="18" customHeight="1"/>
    <x:row r="2491" ht="18" customHeight="1"/>
    <x:row r="2492" ht="18" customHeight="1"/>
    <x:row r="2493" ht="18" customHeight="1"/>
    <x:row r="2494" ht="18" customHeight="1"/>
    <x:row r="2495" ht="18" customHeight="1"/>
    <x:row r="2496" ht="18" customHeight="1"/>
    <x:row r="2497" ht="18" customHeight="1"/>
    <x:row r="2498" ht="18" customHeight="1"/>
    <x:row r="2499" ht="18" customHeight="1"/>
    <x:row r="2500" ht="18" customHeight="1"/>
    <x:row r="2501" ht="18" customHeight="1"/>
    <x:row r="2502" ht="18" customHeight="1"/>
    <x:row r="2503" ht="18" customHeight="1"/>
    <x:row r="2504" ht="18" customHeight="1"/>
    <x:row r="2505" ht="18" customHeight="1"/>
    <x:row r="2506" ht="18" customHeight="1"/>
    <x:row r="2507" ht="18" customHeight="1"/>
    <x:row r="2508" ht="18" customHeight="1"/>
    <x:row r="2509" ht="18" customHeight="1"/>
    <x:row r="2510" ht="18" customHeight="1"/>
    <x:row r="2511" ht="18" customHeight="1"/>
    <x:row r="2512" ht="18" customHeight="1"/>
    <x:row r="2513" ht="18" customHeight="1"/>
    <x:row r="2514" ht="18" customHeight="1"/>
    <x:row r="2515" ht="18" customHeight="1"/>
    <x:row r="2516" ht="18" customHeight="1"/>
    <x:row r="2517" ht="18" customHeight="1"/>
    <x:row r="2518" ht="18" customHeight="1"/>
    <x:row r="2519" ht="18" customHeight="1"/>
    <x:row r="2520" ht="18" customHeight="1"/>
    <x:row r="2521" ht="18" customHeight="1"/>
    <x:row r="2522" ht="18" customHeight="1"/>
    <x:row r="2523" ht="18" customHeight="1"/>
    <x:row r="2524" ht="18" customHeight="1"/>
    <x:row r="2525" ht="18" customHeight="1"/>
    <x:row r="2526" ht="18" customHeight="1"/>
    <x:row r="2527" ht="18" customHeight="1"/>
    <x:row r="2528" ht="18" customHeight="1"/>
    <x:row r="2529" ht="18" customHeight="1"/>
    <x:row r="2530" ht="18" customHeight="1"/>
    <x:row r="2531" ht="18" customHeight="1"/>
    <x:row r="2532" ht="18" customHeight="1"/>
    <x:row r="2533" ht="18" customHeight="1"/>
    <x:row r="2534" ht="18" customHeight="1"/>
    <x:row r="2535" ht="18" customHeight="1"/>
    <x:row r="2536" ht="18" customHeight="1"/>
    <x:row r="2537" ht="18" customHeight="1"/>
    <x:row r="2538" ht="18" customHeight="1"/>
    <x:row r="2539" ht="18" customHeight="1"/>
    <x:row r="2540" ht="18" customHeight="1"/>
    <x:row r="2541" ht="18" customHeight="1"/>
    <x:row r="2542" ht="18" customHeight="1"/>
    <x:row r="2543" ht="18" customHeight="1"/>
    <x:row r="2544" ht="18" customHeight="1"/>
    <x:row r="2545" ht="18" customHeight="1"/>
    <x:row r="2546" ht="18" customHeight="1"/>
    <x:row r="2547" ht="18" customHeight="1"/>
    <x:row r="2548" ht="18" customHeight="1"/>
    <x:row r="2549" ht="18" customHeight="1"/>
    <x:row r="2550" ht="18" customHeight="1"/>
    <x:row r="2551" ht="18" customHeight="1"/>
    <x:row r="2552" ht="18" customHeight="1"/>
    <x:row r="2553" ht="18" customHeight="1"/>
    <x:row r="2554" ht="18" customHeight="1"/>
    <x:row r="2555" ht="18" customHeight="1"/>
    <x:row r="2556" ht="18" customHeight="1"/>
    <x:row r="2557" ht="18" customHeight="1"/>
    <x:row r="2558" ht="18" customHeight="1"/>
    <x:row r="2559" ht="18" customHeight="1"/>
    <x:row r="2560" ht="18" customHeight="1"/>
    <x:row r="2561" ht="18" customHeight="1"/>
    <x:row r="2562" ht="18" customHeight="1"/>
    <x:row r="2563" ht="18" customHeight="1"/>
    <x:row r="2564" ht="18" customHeight="1"/>
    <x:row r="2565" ht="18" customHeight="1"/>
    <x:row r="2566" ht="18" customHeight="1"/>
    <x:row r="2567" ht="18" customHeight="1"/>
    <x:row r="2568" ht="18" customHeight="1"/>
    <x:row r="2569" ht="18" customHeight="1"/>
    <x:row r="2570" ht="18" customHeight="1"/>
    <x:row r="2571" ht="18" customHeight="1"/>
    <x:row r="2572" ht="18" customHeight="1"/>
    <x:row r="2573" ht="18" customHeight="1"/>
    <x:row r="2574" ht="18" customHeight="1"/>
    <x:row r="2575" ht="18" customHeight="1"/>
    <x:row r="2576" ht="18" customHeight="1"/>
    <x:row r="2577" ht="18" customHeight="1"/>
    <x:row r="2578" ht="18" customHeight="1"/>
    <x:row r="2579" ht="18" customHeight="1"/>
    <x:row r="2580" ht="18" customHeight="1"/>
    <x:row r="2581" ht="18" customHeight="1"/>
    <x:row r="2582" ht="18" customHeight="1"/>
    <x:row r="2583" ht="18" customHeight="1"/>
    <x:row r="2584" ht="18" customHeight="1"/>
    <x:row r="2585" ht="18" customHeight="1"/>
    <x:row r="2586" ht="18" customHeight="1"/>
    <x:row r="2587" ht="18" customHeight="1"/>
    <x:row r="2588" ht="18" customHeight="1"/>
    <x:row r="2589" ht="18" customHeight="1"/>
    <x:row r="2590" ht="18" customHeight="1"/>
    <x:row r="2591" ht="18" customHeight="1"/>
    <x:row r="2592" ht="18" customHeight="1"/>
    <x:row r="2593" ht="18" customHeight="1"/>
    <x:row r="2594" ht="18" customHeight="1"/>
    <x:row r="2595" ht="18" customHeight="1"/>
    <x:row r="2596" ht="18" customHeight="1"/>
    <x:row r="2597" ht="18" customHeight="1"/>
    <x:row r="2598" ht="18" customHeight="1"/>
    <x:row r="2599" ht="18" customHeight="1"/>
    <x:row r="2600" ht="18" customHeight="1"/>
    <x:row r="2601" ht="18" customHeight="1"/>
    <x:row r="2602" ht="18" customHeight="1"/>
    <x:row r="2603" ht="18" customHeight="1"/>
    <x:row r="2604" ht="18" customHeight="1"/>
    <x:row r="2605" ht="18" customHeight="1"/>
    <x:row r="2606" ht="18" customHeight="1"/>
    <x:row r="2607" ht="18" customHeight="1"/>
    <x:row r="2608" ht="18" customHeight="1"/>
    <x:row r="2609" ht="18" customHeight="1"/>
    <x:row r="2610" ht="18" customHeight="1"/>
    <x:row r="2611" ht="18" customHeight="1"/>
    <x:row r="2612" ht="18" customHeight="1"/>
    <x:row r="2613" ht="18" customHeight="1"/>
    <x:row r="2614" ht="18" customHeight="1"/>
    <x:row r="2615" ht="18" customHeight="1"/>
    <x:row r="2616" ht="18" customHeight="1"/>
    <x:row r="2617" ht="18" customHeight="1"/>
    <x:row r="2618" ht="18" customHeight="1"/>
    <x:row r="2619" ht="18" customHeight="1"/>
    <x:row r="2620" ht="18" customHeight="1"/>
    <x:row r="2621" ht="18" customHeight="1"/>
    <x:row r="2622" ht="18" customHeight="1"/>
    <x:row r="2623" ht="18" customHeight="1"/>
    <x:row r="2624" ht="18" customHeight="1"/>
    <x:row r="2625" ht="18" customHeight="1"/>
    <x:row r="2626" ht="18" customHeight="1"/>
    <x:row r="2627" ht="18" customHeight="1"/>
    <x:row r="2628" ht="18" customHeight="1"/>
    <x:row r="2629" ht="18" customHeight="1"/>
    <x:row r="2630" ht="18" customHeight="1"/>
    <x:row r="2631" ht="18" customHeight="1"/>
    <x:row r="2632" ht="18" customHeight="1"/>
    <x:row r="2633" ht="18" customHeight="1"/>
    <x:row r="2634" ht="18" customHeight="1"/>
    <x:row r="2635" ht="18" customHeight="1"/>
    <x:row r="2636" ht="18" customHeight="1"/>
    <x:row r="2637" ht="18" customHeight="1"/>
    <x:row r="2638" ht="18" customHeight="1"/>
    <x:row r="2639" ht="18" customHeight="1"/>
    <x:row r="2640" ht="18" customHeight="1"/>
    <x:row r="2641" ht="18" customHeight="1"/>
    <x:row r="2642" ht="18" customHeight="1"/>
    <x:row r="2643" ht="18" customHeight="1"/>
    <x:row r="2644" ht="18" customHeight="1"/>
    <x:row r="2645" ht="18" customHeight="1"/>
    <x:row r="2646" ht="18" customHeight="1"/>
    <x:row r="2647" ht="18" customHeight="1"/>
    <x:row r="2648" ht="18" customHeight="1"/>
    <x:row r="2649" ht="18" customHeight="1"/>
    <x:row r="2650" ht="18" customHeight="1"/>
    <x:row r="2651" ht="18" customHeight="1"/>
    <x:row r="2652" ht="18" customHeight="1"/>
    <x:row r="2653" ht="18" customHeight="1"/>
    <x:row r="2654" ht="18" customHeight="1"/>
    <x:row r="2655" ht="18" customHeight="1"/>
    <x:row r="2656" ht="18" customHeight="1"/>
    <x:row r="2657" ht="18" customHeight="1"/>
    <x:row r="2658" ht="18" customHeight="1"/>
    <x:row r="2659" ht="18" customHeight="1"/>
    <x:row r="2660" ht="18" customHeight="1"/>
    <x:row r="2661" ht="18" customHeight="1"/>
    <x:row r="2662" ht="18" customHeight="1"/>
    <x:row r="2663" ht="18" customHeight="1"/>
    <x:row r="2664" ht="18" customHeight="1"/>
    <x:row r="2665" ht="18" customHeight="1"/>
    <x:row r="2666" ht="18" customHeight="1"/>
    <x:row r="2667" ht="18" customHeight="1"/>
    <x:row r="2668" ht="18" customHeight="1"/>
    <x:row r="2669" ht="18" customHeight="1"/>
    <x:row r="2670" ht="18" customHeight="1"/>
    <x:row r="2671" ht="18" customHeight="1"/>
    <x:row r="2672" ht="18" customHeight="1"/>
    <x:row r="2673" ht="18" customHeight="1"/>
    <x:row r="2674" ht="18" customHeight="1"/>
    <x:row r="2675" ht="18" customHeight="1"/>
    <x:row r="2676" ht="18" customHeight="1"/>
    <x:row r="2677" ht="18" customHeight="1"/>
    <x:row r="2678" ht="18" customHeight="1"/>
    <x:row r="2679" ht="18" customHeight="1"/>
    <x:row r="2680" ht="18" customHeight="1"/>
    <x:row r="2681" ht="18" customHeight="1"/>
    <x:row r="2682" ht="18" customHeight="1"/>
    <x:row r="2683" ht="18" customHeight="1"/>
    <x:row r="2684" ht="18" customHeight="1"/>
    <x:row r="2685" ht="18" customHeight="1"/>
    <x:row r="2686" ht="18" customHeight="1"/>
    <x:row r="2687" ht="18" customHeight="1"/>
    <x:row r="2688" ht="18" customHeight="1"/>
    <x:row r="2689" ht="18" customHeight="1"/>
    <x:row r="2690" ht="18" customHeight="1"/>
    <x:row r="2691" ht="18" customHeight="1"/>
    <x:row r="2692" ht="18" customHeight="1"/>
    <x:row r="2693" ht="18" customHeight="1"/>
    <x:row r="2694" ht="18" customHeight="1"/>
    <x:row r="2695" ht="18" customHeight="1"/>
    <x:row r="2696" ht="18" customHeight="1"/>
    <x:row r="2697" ht="18" customHeight="1"/>
    <x:row r="2698" ht="18" customHeight="1"/>
    <x:row r="2699" ht="18" customHeight="1"/>
    <x:row r="2700" ht="18" customHeight="1"/>
    <x:row r="2701" ht="18" customHeight="1"/>
    <x:row r="2702" ht="18" customHeight="1"/>
    <x:row r="2703" ht="18" customHeight="1"/>
    <x:row r="2704" ht="18" customHeight="1"/>
    <x:row r="2705" ht="18" customHeight="1"/>
    <x:row r="2706" ht="18" customHeight="1"/>
    <x:row r="2707" ht="18" customHeight="1"/>
    <x:row r="2708" ht="18" customHeight="1"/>
    <x:row r="2709" ht="18" customHeight="1"/>
    <x:row r="2710" ht="18" customHeight="1"/>
    <x:row r="2711" ht="18" customHeight="1"/>
    <x:row r="2712" ht="18" customHeight="1"/>
    <x:row r="2713" ht="18" customHeight="1"/>
    <x:row r="2714" ht="18" customHeight="1"/>
    <x:row r="2715" ht="18" customHeight="1"/>
    <x:row r="2716" ht="18" customHeight="1"/>
    <x:row r="2717" ht="18" customHeight="1"/>
    <x:row r="2718" ht="18" customHeight="1"/>
    <x:row r="2719" ht="18" customHeight="1"/>
    <x:row r="2720" ht="18" customHeight="1"/>
    <x:row r="2721" ht="18" customHeight="1"/>
    <x:row r="2722" ht="18" customHeight="1"/>
    <x:row r="2723" ht="18" customHeight="1"/>
    <x:row r="2724" ht="18" customHeight="1"/>
    <x:row r="2725" ht="18" customHeight="1"/>
    <x:row r="2726" ht="18" customHeight="1"/>
    <x:row r="2727" ht="18" customHeight="1"/>
    <x:row r="2728" ht="18" customHeight="1"/>
    <x:row r="2729" ht="18" customHeight="1"/>
    <x:row r="2730" ht="18" customHeight="1"/>
    <x:row r="2731" ht="18" customHeight="1"/>
    <x:row r="2732" ht="18" customHeight="1"/>
    <x:row r="2733" ht="18" customHeight="1"/>
    <x:row r="2734" ht="18" customHeight="1"/>
    <x:row r="2735" ht="18" customHeight="1"/>
    <x:row r="2736" ht="18" customHeight="1"/>
    <x:row r="2737" ht="18" customHeight="1"/>
    <x:row r="2738" ht="18" customHeight="1"/>
    <x:row r="2739" ht="18" customHeight="1"/>
    <x:row r="2740" ht="18" customHeight="1"/>
    <x:row r="2741" ht="18" customHeight="1"/>
    <x:row r="2742" ht="18" customHeight="1"/>
    <x:row r="2743" ht="18" customHeight="1"/>
    <x:row r="2744" ht="18" customHeight="1"/>
    <x:row r="2745" ht="18" customHeight="1"/>
    <x:row r="2746" ht="18" customHeight="1"/>
    <x:row r="2747" ht="18" customHeight="1"/>
    <x:row r="2748" ht="18" customHeight="1"/>
    <x:row r="2749" ht="18" customHeight="1"/>
    <x:row r="2750" ht="18" customHeight="1"/>
    <x:row r="2751" ht="18" customHeight="1"/>
    <x:row r="2752" ht="18" customHeight="1"/>
    <x:row r="2753" ht="18" customHeight="1"/>
    <x:row r="2754" ht="18" customHeight="1"/>
    <x:row r="2755" ht="18" customHeight="1"/>
    <x:row r="2756" ht="18" customHeight="1"/>
    <x:row r="2757" ht="18" customHeight="1"/>
    <x:row r="2758" ht="18" customHeight="1"/>
    <x:row r="2759" ht="18" customHeight="1"/>
    <x:row r="2760" ht="18" customHeight="1"/>
    <x:row r="2761" ht="18" customHeight="1"/>
    <x:row r="2762" ht="18" customHeight="1"/>
    <x:row r="2763" ht="18" customHeight="1"/>
    <x:row r="2764" ht="18" customHeight="1"/>
    <x:row r="2765" ht="18" customHeight="1"/>
    <x:row r="2766" ht="18" customHeight="1"/>
    <x:row r="2767" ht="18" customHeight="1"/>
    <x:row r="2768" ht="18" customHeight="1"/>
    <x:row r="2769" ht="18" customHeight="1"/>
    <x:row r="2770" ht="18" customHeight="1"/>
    <x:row r="2771" ht="18" customHeight="1"/>
    <x:row r="2772" ht="18" customHeight="1"/>
    <x:row r="2773" ht="18" customHeight="1"/>
    <x:row r="2774" ht="18" customHeight="1"/>
    <x:row r="2775" ht="18" customHeight="1"/>
    <x:row r="2776" ht="18" customHeight="1"/>
    <x:row r="2777" ht="18" customHeight="1"/>
    <x:row r="2778" ht="18" customHeight="1"/>
    <x:row r="2779" ht="18" customHeight="1"/>
    <x:row r="2780" ht="18" customHeight="1"/>
    <x:row r="2781" ht="18" customHeight="1"/>
    <x:row r="2782" ht="18" customHeight="1"/>
    <x:row r="2783" ht="18" customHeight="1"/>
    <x:row r="2784" ht="18" customHeight="1"/>
    <x:row r="2785" ht="18" customHeight="1"/>
    <x:row r="2786" ht="18" customHeight="1"/>
    <x:row r="2787" ht="18" customHeight="1"/>
    <x:row r="2788" ht="18" customHeight="1"/>
    <x:row r="2789" ht="18" customHeight="1"/>
    <x:row r="2790" ht="18" customHeight="1"/>
    <x:row r="2791" ht="18" customHeight="1"/>
    <x:row r="2792" ht="18" customHeight="1"/>
    <x:row r="2793" ht="18" customHeight="1"/>
    <x:row r="2794" ht="18" customHeight="1"/>
    <x:row r="2795" ht="18" customHeight="1"/>
    <x:row r="2796" ht="18" customHeight="1"/>
    <x:row r="2797" ht="18" customHeight="1"/>
    <x:row r="2798" ht="18" customHeight="1"/>
    <x:row r="2799" ht="18" customHeight="1"/>
    <x:row r="2800" ht="18" customHeight="1"/>
    <x:row r="2801" ht="18" customHeight="1"/>
    <x:row r="2802" ht="18" customHeight="1"/>
    <x:row r="2803" ht="18" customHeight="1"/>
    <x:row r="2804" ht="18" customHeight="1"/>
    <x:row r="2805" ht="18" customHeight="1"/>
    <x:row r="2806" ht="18" customHeight="1"/>
    <x:row r="2807" ht="18" customHeight="1"/>
    <x:row r="2808" ht="18" customHeight="1"/>
    <x:row r="2809" ht="18" customHeight="1"/>
    <x:row r="2810" ht="18" customHeight="1"/>
    <x:row r="2811" ht="18" customHeight="1"/>
    <x:row r="2812" ht="18" customHeight="1"/>
    <x:row r="2813" ht="18" customHeight="1"/>
    <x:row r="2814" ht="18" customHeight="1"/>
    <x:row r="2815" ht="18" customHeight="1"/>
    <x:row r="2816" ht="18" customHeight="1"/>
    <x:row r="2817" ht="18" customHeight="1"/>
    <x:row r="2818" ht="18" customHeight="1"/>
    <x:row r="2819" ht="18" customHeight="1"/>
    <x:row r="2820" ht="18" customHeight="1"/>
    <x:row r="2821" ht="18" customHeight="1"/>
    <x:row r="2822" ht="18" customHeight="1"/>
    <x:row r="2823" ht="18" customHeight="1"/>
    <x:row r="2824" ht="18" customHeight="1"/>
    <x:row r="2825" ht="18" customHeight="1"/>
    <x:row r="2826" ht="18" customHeight="1"/>
    <x:row r="2827" ht="18" customHeight="1"/>
    <x:row r="2828" ht="18" customHeight="1"/>
    <x:row r="2829" ht="18" customHeight="1"/>
    <x:row r="2830" ht="18" customHeight="1"/>
    <x:row r="2831" ht="18" customHeight="1"/>
    <x:row r="2832" ht="18" customHeight="1"/>
    <x:row r="2833" ht="18" customHeight="1"/>
    <x:row r="2834" ht="18" customHeight="1"/>
    <x:row r="2835" ht="18" customHeight="1"/>
    <x:row r="2836" ht="18" customHeight="1"/>
    <x:row r="2837" ht="18" customHeight="1"/>
    <x:row r="2838" ht="18" customHeight="1"/>
    <x:row r="2839" ht="18" customHeight="1"/>
    <x:row r="2840" ht="18" customHeight="1"/>
    <x:row r="2841" ht="18" customHeight="1"/>
    <x:row r="2842" ht="18" customHeight="1"/>
    <x:row r="2843" ht="18" customHeight="1"/>
    <x:row r="2844" ht="18" customHeight="1"/>
    <x:row r="2845" ht="18" customHeight="1"/>
    <x:row r="2846" ht="18" customHeight="1"/>
    <x:row r="2847" ht="18" customHeight="1"/>
    <x:row r="2848" ht="18" customHeight="1"/>
    <x:row r="2849" ht="18" customHeight="1"/>
    <x:row r="2850" ht="18" customHeight="1"/>
    <x:row r="2851" ht="18" customHeight="1"/>
    <x:row r="2852" ht="18" customHeight="1"/>
    <x:row r="2853" ht="18" customHeight="1"/>
    <x:row r="2854" ht="18" customHeight="1"/>
    <x:row r="2855" ht="18" customHeight="1"/>
    <x:row r="2856" ht="18" customHeight="1"/>
    <x:row r="2857" ht="18" customHeight="1"/>
    <x:row r="2858" ht="18" customHeight="1"/>
    <x:row r="2859" ht="18" customHeight="1"/>
    <x:row r="2860" ht="18" customHeight="1"/>
    <x:row r="2861" ht="18" customHeight="1"/>
    <x:row r="2862" ht="18" customHeight="1"/>
    <x:row r="2863" ht="18" customHeight="1"/>
    <x:row r="2864" ht="18" customHeight="1"/>
    <x:row r="2865" ht="18" customHeight="1"/>
    <x:row r="2866" ht="18" customHeight="1"/>
    <x:row r="2867" ht="18" customHeight="1"/>
    <x:row r="2868" ht="18" customHeight="1"/>
    <x:row r="2869" ht="18" customHeight="1"/>
    <x:row r="2870" ht="18" customHeight="1"/>
    <x:row r="2871" ht="18" customHeight="1"/>
    <x:row r="2872" ht="18" customHeight="1"/>
    <x:row r="2873" ht="18" customHeight="1"/>
    <x:row r="2874" ht="18" customHeight="1"/>
    <x:row r="2875" ht="18" customHeight="1"/>
    <x:row r="2876" ht="18" customHeight="1"/>
    <x:row r="2877" ht="18" customHeight="1"/>
    <x:row r="2878" ht="18" customHeight="1"/>
    <x:row r="2879" ht="18" customHeight="1"/>
    <x:row r="2880" ht="18" customHeight="1"/>
    <x:row r="2881" ht="18" customHeight="1"/>
    <x:row r="2882" ht="18" customHeight="1"/>
    <x:row r="2883" ht="18" customHeight="1"/>
    <x:row r="2884" ht="18" customHeight="1"/>
    <x:row r="2885" ht="18" customHeight="1"/>
    <x:row r="2886" ht="18" customHeight="1"/>
    <x:row r="2887" ht="18" customHeight="1"/>
    <x:row r="2888" ht="18" customHeight="1"/>
    <x:row r="2889" ht="18" customHeight="1"/>
    <x:row r="2890" ht="18" customHeight="1"/>
    <x:row r="2891" ht="18" customHeight="1"/>
    <x:row r="2892" ht="18" customHeight="1"/>
    <x:row r="2893" ht="18" customHeight="1"/>
    <x:row r="2894" ht="18" customHeight="1"/>
    <x:row r="2895" ht="18" customHeight="1"/>
    <x:row r="2896" ht="18" customHeight="1"/>
    <x:row r="2897" ht="18" customHeight="1"/>
    <x:row r="2898" ht="18" customHeight="1"/>
    <x:row r="2899" ht="18" customHeight="1"/>
    <x:row r="2900" ht="18" customHeight="1"/>
    <x:row r="2901" ht="18" customHeight="1"/>
    <x:row r="2902" ht="18" customHeight="1"/>
    <x:row r="2903" ht="18" customHeight="1"/>
    <x:row r="2904" ht="18" customHeight="1"/>
    <x:row r="2905" ht="18" customHeight="1"/>
    <x:row r="2906" ht="18" customHeight="1"/>
    <x:row r="2907" ht="18" customHeight="1"/>
    <x:row r="2908" ht="18" customHeight="1"/>
    <x:row r="2909" ht="18" customHeight="1"/>
    <x:row r="2910" ht="18" customHeight="1"/>
    <x:row r="2911" ht="18" customHeight="1"/>
    <x:row r="2912" ht="18" customHeight="1"/>
    <x:row r="2913" ht="18" customHeight="1"/>
    <x:row r="2914" ht="18" customHeight="1"/>
    <x:row r="2915" ht="18" customHeight="1"/>
    <x:row r="2916" ht="18" customHeight="1"/>
    <x:row r="2917" ht="18" customHeight="1"/>
    <x:row r="2918" ht="18" customHeight="1"/>
    <x:row r="2919" ht="18" customHeight="1"/>
    <x:row r="2920" ht="18" customHeight="1"/>
    <x:row r="2921" ht="18" customHeight="1"/>
    <x:row r="2922" ht="18" customHeight="1"/>
    <x:row r="2923" ht="18" customHeight="1"/>
    <x:row r="2924" ht="18" customHeight="1"/>
    <x:row r="2925" ht="18" customHeight="1"/>
    <x:row r="2926" ht="18" customHeight="1"/>
    <x:row r="2927" ht="18" customHeight="1"/>
    <x:row r="2928" ht="18" customHeight="1"/>
    <x:row r="2929" ht="18" customHeight="1"/>
    <x:row r="2930" ht="18" customHeight="1"/>
    <x:row r="2931" ht="18" customHeight="1"/>
    <x:row r="2932" ht="18" customHeight="1"/>
    <x:row r="2933" ht="18" customHeight="1"/>
    <x:row r="2934" ht="18" customHeight="1"/>
    <x:row r="2935" ht="18" customHeight="1"/>
    <x:row r="2936" ht="18" customHeight="1"/>
    <x:row r="2937" ht="18" customHeight="1"/>
    <x:row r="2938" ht="18" customHeight="1"/>
    <x:row r="2939" ht="18" customHeight="1"/>
    <x:row r="2940" ht="18" customHeight="1"/>
    <x:row r="2941" ht="18" customHeight="1"/>
    <x:row r="2942" ht="18" customHeight="1"/>
    <x:row r="2943" ht="18" customHeight="1"/>
    <x:row r="2944" ht="18" customHeight="1"/>
    <x:row r="2945" ht="18" customHeight="1"/>
    <x:row r="2946" ht="18" customHeight="1"/>
    <x:row r="2947" ht="18" customHeight="1"/>
    <x:row r="2948" ht="18" customHeight="1"/>
    <x:row r="2949" ht="18" customHeight="1"/>
    <x:row r="2950" ht="18" customHeight="1"/>
    <x:row r="2951" ht="18" customHeight="1"/>
    <x:row r="2952" ht="18" customHeight="1"/>
    <x:row r="2953" ht="18" customHeight="1"/>
    <x:row r="2954" ht="18" customHeight="1"/>
    <x:row r="2955" ht="18" customHeight="1"/>
    <x:row r="2956" ht="18" customHeight="1"/>
    <x:row r="2957" ht="18" customHeight="1"/>
    <x:row r="2958" ht="18" customHeight="1"/>
    <x:row r="2959" ht="18" customHeight="1"/>
    <x:row r="2960" ht="18" customHeight="1"/>
    <x:row r="2961" ht="18" customHeight="1"/>
    <x:row r="2962" ht="18" customHeight="1"/>
    <x:row r="2963" ht="18" customHeight="1"/>
    <x:row r="2964" ht="18" customHeight="1"/>
    <x:row r="2965" ht="18" customHeight="1"/>
    <x:row r="2966" ht="18" customHeight="1"/>
    <x:row r="2967" ht="18" customHeight="1"/>
    <x:row r="2968" ht="18" customHeight="1"/>
    <x:row r="2969" ht="18" customHeight="1"/>
    <x:row r="2970" ht="18" customHeight="1"/>
    <x:row r="2971" ht="18" customHeight="1"/>
    <x:row r="2972" ht="18" customHeight="1"/>
    <x:row r="2973" ht="18" customHeight="1"/>
    <x:row r="2974" ht="18" customHeight="1"/>
    <x:row r="2975" ht="18" customHeight="1"/>
    <x:row r="2976" ht="18" customHeight="1"/>
    <x:row r="2977" ht="18" customHeight="1"/>
    <x:row r="2978" ht="18" customHeight="1"/>
    <x:row r="2979" ht="18" customHeight="1"/>
    <x:row r="2980" ht="18" customHeight="1"/>
    <x:row r="2981" ht="18" customHeight="1"/>
    <x:row r="2982" ht="18" customHeight="1"/>
    <x:row r="2983" ht="18" customHeight="1"/>
    <x:row r="2984" ht="18" customHeight="1"/>
    <x:row r="2985" ht="18" customHeight="1"/>
    <x:row r="2986" ht="18" customHeight="1"/>
    <x:row r="2987" ht="18" customHeight="1"/>
    <x:row r="2988" ht="18" customHeight="1"/>
    <x:row r="2989" ht="18" customHeight="1"/>
    <x:row r="2990" ht="18" customHeight="1"/>
    <x:row r="2991" ht="18" customHeight="1"/>
    <x:row r="2992" ht="18" customHeight="1"/>
    <x:row r="2993" ht="18" customHeight="1"/>
    <x:row r="2994" ht="18" customHeight="1"/>
    <x:row r="2995" ht="18" customHeight="1"/>
    <x:row r="2996" ht="18" customHeight="1"/>
    <x:row r="2997" ht="18" customHeight="1"/>
    <x:row r="2998" ht="18" customHeight="1"/>
    <x:row r="2999" ht="18" customHeight="1"/>
    <x:row r="3000" ht="18" customHeight="1"/>
    <x:row r="3001" ht="18" customHeight="1"/>
    <x:row r="3002" ht="18" customHeight="1"/>
    <x:row r="3003" ht="18" customHeight="1"/>
    <x:row r="3004" ht="18" customHeight="1"/>
    <x:row r="3005" ht="18" customHeight="1"/>
    <x:row r="3006" ht="18" customHeight="1"/>
    <x:row r="3007" ht="18" customHeight="1"/>
    <x:row r="3008" ht="18" customHeight="1"/>
    <x:row r="3009" ht="18" customHeight="1"/>
    <x:row r="3010" ht="18" customHeight="1"/>
    <x:row r="3011" ht="18" customHeight="1"/>
    <x:row r="3012" ht="18" customHeight="1"/>
    <x:row r="3013" ht="18" customHeight="1"/>
    <x:row r="3014" ht="18" customHeight="1"/>
    <x:row r="3015" ht="18" customHeight="1"/>
    <x:row r="3016" ht="18" customHeight="1"/>
    <x:row r="3017" ht="18" customHeight="1"/>
    <x:row r="3018" ht="18" customHeight="1"/>
    <x:row r="3019" ht="18" customHeight="1"/>
    <x:row r="3020" ht="18" customHeight="1"/>
    <x:row r="3021" ht="18" customHeight="1"/>
    <x:row r="3022" ht="18" customHeight="1"/>
    <x:row r="3023" ht="18" customHeight="1"/>
    <x:row r="3024" ht="18" customHeight="1"/>
    <x:row r="3025" ht="18" customHeight="1"/>
    <x:row r="3026" ht="18" customHeight="1"/>
    <x:row r="3027" ht="18" customHeight="1"/>
    <x:row r="3028" ht="18" customHeight="1"/>
    <x:row r="3029" ht="18" customHeight="1"/>
    <x:row r="3030" ht="18" customHeight="1"/>
    <x:row r="3031" ht="18" customHeight="1"/>
    <x:row r="3032" ht="18" customHeight="1"/>
    <x:row r="3033" ht="18" customHeight="1"/>
    <x:row r="3034" ht="18" customHeight="1"/>
    <x:row r="3035" ht="18" customHeight="1"/>
    <x:row r="3036" ht="18" customHeight="1"/>
    <x:row r="3037" ht="18" customHeight="1"/>
    <x:row r="3038" ht="18" customHeight="1"/>
    <x:row r="3039" ht="18" customHeight="1"/>
    <x:row r="3040" ht="18" customHeight="1"/>
    <x:row r="3041" ht="18" customHeight="1"/>
    <x:row r="3042" ht="18" customHeight="1"/>
    <x:row r="3043" ht="18" customHeight="1"/>
    <x:row r="3044" ht="18" customHeight="1"/>
    <x:row r="3045" ht="18" customHeight="1"/>
    <x:row r="3046" ht="18" customHeight="1"/>
    <x:row r="3047" ht="18" customHeight="1"/>
    <x:row r="3048" ht="18" customHeight="1"/>
    <x:row r="3049" ht="18" customHeight="1"/>
    <x:row r="3050" ht="18" customHeight="1"/>
    <x:row r="3051" ht="18" customHeight="1"/>
    <x:row r="3052" ht="18" customHeight="1"/>
    <x:row r="3053" ht="18" customHeight="1"/>
    <x:row r="3054" ht="18" customHeight="1"/>
    <x:row r="3055" ht="18" customHeight="1"/>
    <x:row r="3056" ht="18" customHeight="1"/>
    <x:row r="3057" ht="18" customHeight="1"/>
    <x:row r="3058" ht="18" customHeight="1"/>
    <x:row r="3059" ht="18" customHeight="1"/>
    <x:row r="3060" ht="18" customHeight="1"/>
    <x:row r="3061" ht="18" customHeight="1"/>
    <x:row r="3062" ht="18" customHeight="1"/>
    <x:row r="3063" ht="18" customHeight="1"/>
    <x:row r="3064" ht="18" customHeight="1"/>
    <x:row r="3065" ht="18" customHeight="1"/>
    <x:row r="3066" ht="18" customHeight="1"/>
    <x:row r="3067" ht="18" customHeight="1"/>
    <x:row r="3068" ht="18" customHeight="1"/>
    <x:row r="3069" ht="18" customHeight="1"/>
    <x:row r="3070" ht="18" customHeight="1"/>
    <x:row r="3071" ht="18" customHeight="1"/>
    <x:row r="3072" ht="18" customHeight="1"/>
    <x:row r="3073" ht="18" customHeight="1"/>
    <x:row r="3074" ht="18" customHeight="1"/>
    <x:row r="3075" ht="18" customHeight="1"/>
    <x:row r="3076" ht="18" customHeight="1"/>
    <x:row r="3077" ht="18" customHeight="1"/>
    <x:row r="3078" ht="18" customHeight="1"/>
    <x:row r="3079" ht="18" customHeight="1"/>
    <x:row r="3080" ht="18" customHeight="1"/>
    <x:row r="3081" ht="18" customHeight="1"/>
    <x:row r="3082" ht="18" customHeight="1"/>
    <x:row r="3083" ht="18" customHeight="1"/>
    <x:row r="3084" ht="18" customHeight="1"/>
    <x:row r="3085" ht="18" customHeight="1"/>
    <x:row r="3086" ht="18" customHeight="1"/>
    <x:row r="3087" ht="18" customHeight="1"/>
    <x:row r="3088" ht="18" customHeight="1"/>
    <x:row r="3089" ht="18" customHeight="1"/>
    <x:row r="3090" ht="18" customHeight="1"/>
    <x:row r="3091" ht="18" customHeight="1"/>
    <x:row r="3092" ht="18" customHeight="1"/>
    <x:row r="3093" ht="18" customHeight="1"/>
    <x:row r="3094" ht="18" customHeight="1"/>
    <x:row r="3095" ht="18" customHeight="1"/>
    <x:row r="3096" ht="18" customHeight="1"/>
    <x:row r="3097" ht="18" customHeight="1"/>
    <x:row r="3098" ht="18" customHeight="1"/>
    <x:row r="3099" ht="18" customHeight="1"/>
    <x:row r="3100" ht="18" customHeight="1"/>
    <x:row r="3101" ht="18" customHeight="1"/>
    <x:row r="3102" ht="18" customHeight="1"/>
    <x:row r="3103" ht="18" customHeight="1"/>
    <x:row r="3104" ht="18" customHeight="1"/>
    <x:row r="3105" ht="18" customHeight="1"/>
    <x:row r="3106" ht="18" customHeight="1"/>
    <x:row r="3107" ht="18" customHeight="1"/>
    <x:row r="3108" ht="18" customHeight="1"/>
    <x:row r="3109" ht="18" customHeight="1"/>
    <x:row r="3110" ht="18" customHeight="1"/>
    <x:row r="3111" ht="18" customHeight="1"/>
    <x:row r="3112" ht="18" customHeight="1"/>
    <x:row r="3113" ht="18" customHeight="1"/>
    <x:row r="3114" ht="18" customHeight="1"/>
    <x:row r="3115" ht="18" customHeight="1"/>
    <x:row r="3116" ht="18" customHeight="1"/>
    <x:row r="3117" ht="18" customHeight="1"/>
    <x:row r="3118" ht="18" customHeight="1"/>
    <x:row r="3119" ht="18" customHeight="1"/>
    <x:row r="3120" ht="18" customHeight="1"/>
    <x:row r="3121" ht="18" customHeight="1"/>
    <x:row r="3122" ht="18" customHeight="1"/>
    <x:row r="3123" ht="18" customHeight="1"/>
    <x:row r="3124" ht="18" customHeight="1"/>
    <x:row r="3125" ht="18" customHeight="1"/>
    <x:row r="3126" ht="18" customHeight="1"/>
    <x:row r="3127" ht="18" customHeight="1"/>
    <x:row r="3128" ht="18" customHeight="1"/>
    <x:row r="3129" ht="18" customHeight="1"/>
    <x:row r="3130" ht="18" customHeight="1"/>
    <x:row r="3131" ht="18" customHeight="1"/>
    <x:row r="3132" ht="18" customHeight="1"/>
    <x:row r="3133" ht="18" customHeight="1"/>
    <x:row r="3134" ht="18" customHeight="1"/>
    <x:row r="3135" ht="18" customHeight="1"/>
    <x:row r="3136" ht="18" customHeight="1"/>
    <x:row r="3137" ht="18" customHeight="1"/>
    <x:row r="3138" ht="18" customHeight="1"/>
    <x:row r="3139" ht="18" customHeight="1"/>
    <x:row r="3140" ht="18" customHeight="1"/>
    <x:row r="3141" ht="18" customHeight="1"/>
    <x:row r="3142" ht="18" customHeight="1"/>
    <x:row r="3143" ht="18" customHeight="1"/>
    <x:row r="3144" ht="18" customHeight="1"/>
    <x:row r="3145" ht="18" customHeight="1"/>
    <x:row r="3146" ht="18" customHeight="1"/>
    <x:row r="3147" ht="18" customHeight="1"/>
    <x:row r="3148" ht="18" customHeight="1"/>
    <x:row r="3149" ht="18" customHeight="1"/>
    <x:row r="3150" ht="18" customHeight="1"/>
    <x:row r="3151" ht="18" customHeight="1"/>
    <x:row r="3152" ht="18" customHeight="1"/>
    <x:row r="3153" ht="18" customHeight="1"/>
    <x:row r="3154" ht="18" customHeight="1"/>
    <x:row r="3155" ht="18" customHeight="1"/>
    <x:row r="3156" ht="18" customHeight="1"/>
    <x:row r="3157" ht="18" customHeight="1"/>
    <x:row r="3158" ht="18" customHeight="1"/>
    <x:row r="3159" ht="18" customHeight="1"/>
    <x:row r="3160" ht="18" customHeight="1"/>
    <x:row r="3161" ht="18" customHeight="1"/>
    <x:row r="3162" ht="18" customHeight="1"/>
    <x:row r="3163" ht="18" customHeight="1"/>
    <x:row r="3164" ht="18" customHeight="1"/>
    <x:row r="3165" ht="18" customHeight="1"/>
    <x:row r="3166" ht="18" customHeight="1"/>
    <x:row r="3167" ht="18" customHeight="1"/>
    <x:row r="3168" ht="18" customHeight="1"/>
    <x:row r="3169" ht="18" customHeight="1"/>
    <x:row r="3170" ht="18" customHeight="1"/>
    <x:row r="3171" ht="18" customHeight="1"/>
    <x:row r="3172" ht="18" customHeight="1"/>
    <x:row r="3173" ht="18" customHeight="1"/>
    <x:row r="3174" ht="18" customHeight="1"/>
    <x:row r="3175" ht="18" customHeight="1"/>
    <x:row r="3176" ht="18" customHeight="1"/>
    <x:row r="3177" ht="18" customHeight="1"/>
    <x:row r="3178" ht="18" customHeight="1"/>
    <x:row r="3179" ht="18" customHeight="1"/>
    <x:row r="3180" ht="18" customHeight="1"/>
    <x:row r="3181" ht="18" customHeight="1"/>
    <x:row r="3182" ht="18" customHeight="1"/>
    <x:row r="3183" ht="18" customHeight="1"/>
    <x:row r="3184" ht="18" customHeight="1"/>
    <x:row r="3185" ht="18" customHeight="1"/>
    <x:row r="3186" ht="18" customHeight="1"/>
    <x:row r="3187" ht="18" customHeight="1"/>
    <x:row r="3188" ht="18" customHeight="1"/>
    <x:row r="3189" ht="18" customHeight="1"/>
    <x:row r="3190" ht="18" customHeight="1"/>
    <x:row r="3191" ht="18" customHeight="1"/>
    <x:row r="3192" ht="18" customHeight="1"/>
    <x:row r="3193" ht="18" customHeight="1"/>
    <x:row r="3194" ht="18" customHeight="1"/>
    <x:row r="3195" ht="18" customHeight="1"/>
    <x:row r="3196" ht="18" customHeight="1"/>
    <x:row r="3197" ht="18" customHeight="1"/>
    <x:row r="3198" ht="18" customHeight="1"/>
    <x:row r="3199" ht="18" customHeight="1"/>
    <x:row r="3200" ht="18" customHeight="1"/>
    <x:row r="3201" ht="18" customHeight="1"/>
    <x:row r="3202" ht="18" customHeight="1"/>
    <x:row r="3203" ht="18" customHeight="1"/>
    <x:row r="3204" ht="18" customHeight="1"/>
    <x:row r="3205" ht="18" customHeight="1"/>
    <x:row r="3206" ht="18" customHeight="1"/>
    <x:row r="3207" ht="18" customHeight="1"/>
    <x:row r="3208" ht="18" customHeight="1"/>
    <x:row r="3209" ht="18" customHeight="1"/>
    <x:row r="3210" ht="18" customHeight="1"/>
    <x:row r="3211" ht="18" customHeight="1"/>
    <x:row r="3212" ht="18" customHeight="1"/>
    <x:row r="3213" ht="18" customHeight="1"/>
    <x:row r="3214" ht="18" customHeight="1"/>
    <x:row r="3215" ht="18" customHeight="1"/>
    <x:row r="3216" ht="18" customHeight="1"/>
    <x:row r="3217" ht="18" customHeight="1"/>
    <x:row r="3218" ht="18" customHeight="1"/>
    <x:row r="3219" ht="18" customHeight="1"/>
    <x:row r="3220" ht="18" customHeight="1"/>
    <x:row r="3221" ht="18" customHeight="1"/>
    <x:row r="3222" ht="18" customHeight="1"/>
    <x:row r="3223" ht="18" customHeight="1"/>
    <x:row r="3224" ht="18" customHeight="1"/>
    <x:row r="3225" ht="18" customHeight="1"/>
    <x:row r="3226" ht="18" customHeight="1"/>
    <x:row r="3227" ht="18" customHeight="1"/>
    <x:row r="3228" ht="18" customHeight="1"/>
    <x:row r="3229" ht="18" customHeight="1"/>
    <x:row r="3230" ht="18" customHeight="1"/>
    <x:row r="3231" ht="18" customHeight="1"/>
    <x:row r="3232" ht="18" customHeight="1"/>
    <x:row r="3233" ht="18" customHeight="1"/>
    <x:row r="3234" ht="18" customHeight="1"/>
    <x:row r="3235" ht="18" customHeight="1"/>
    <x:row r="3236" ht="18" customHeight="1"/>
    <x:row r="3237" ht="18" customHeight="1"/>
    <x:row r="3238" ht="18" customHeight="1"/>
    <x:row r="3239" ht="18" customHeight="1"/>
    <x:row r="3240" ht="18" customHeight="1"/>
    <x:row r="3241" ht="18" customHeight="1"/>
    <x:row r="3242" ht="18" customHeight="1"/>
    <x:row r="3243" ht="18" customHeight="1"/>
    <x:row r="3244" ht="18" customHeight="1"/>
    <x:row r="3245" ht="18" customHeight="1"/>
    <x:row r="3246" ht="18" customHeight="1"/>
    <x:row r="3247" ht="18" customHeight="1"/>
    <x:row r="3248" ht="18" customHeight="1"/>
    <x:row r="3249" ht="18" customHeight="1"/>
    <x:row r="3250" ht="18" customHeight="1"/>
    <x:row r="3251" ht="18" customHeight="1"/>
    <x:row r="3252" ht="18" customHeight="1"/>
    <x:row r="3253" ht="18" customHeight="1"/>
    <x:row r="3254" ht="18" customHeight="1"/>
    <x:row r="3255" ht="18" customHeight="1"/>
    <x:row r="3256" ht="18" customHeight="1"/>
    <x:row r="3257" ht="18" customHeight="1"/>
    <x:row r="3258" ht="18" customHeight="1"/>
    <x:row r="3259" ht="18" customHeight="1"/>
    <x:row r="3260" ht="18" customHeight="1"/>
    <x:row r="3261" ht="18" customHeight="1"/>
    <x:row r="3262" ht="18" customHeight="1"/>
    <x:row r="3263" ht="18" customHeight="1"/>
    <x:row r="3264" ht="18" customHeight="1"/>
    <x:row r="3265" ht="18" customHeight="1"/>
    <x:row r="3266" ht="18" customHeight="1"/>
    <x:row r="3267" ht="18" customHeight="1"/>
    <x:row r="3268" ht="18" customHeight="1"/>
    <x:row r="3269" ht="18" customHeight="1"/>
    <x:row r="3270" ht="18" customHeight="1"/>
    <x:row r="3271" ht="18" customHeight="1"/>
    <x:row r="3272" ht="18" customHeight="1"/>
    <x:row r="3273" ht="18" customHeight="1"/>
    <x:row r="3274" ht="18" customHeight="1"/>
    <x:row r="3275" ht="18" customHeight="1"/>
    <x:row r="3276" ht="18" customHeight="1"/>
    <x:row r="3277" ht="18" customHeight="1"/>
    <x:row r="3278" ht="18" customHeight="1"/>
    <x:row r="3279" ht="18" customHeight="1"/>
    <x:row r="3280" ht="18" customHeight="1"/>
    <x:row r="3281" ht="18" customHeight="1"/>
    <x:row r="3282" ht="18" customHeight="1"/>
    <x:row r="3283" ht="18" customHeight="1"/>
    <x:row r="3284" ht="18" customHeight="1"/>
    <x:row r="3285" ht="18" customHeight="1"/>
    <x:row r="3286" ht="18" customHeight="1"/>
    <x:row r="3287" ht="18" customHeight="1"/>
    <x:row r="3288" ht="18" customHeight="1"/>
    <x:row r="3289" ht="18" customHeight="1"/>
    <x:row r="3290" ht="18" customHeight="1"/>
    <x:row r="3291" ht="18" customHeight="1"/>
    <x:row r="3292" ht="18" customHeight="1"/>
    <x:row r="3293" ht="18" customHeight="1"/>
    <x:row r="3294" ht="18" customHeight="1"/>
    <x:row r="3295" ht="18" customHeight="1"/>
    <x:row r="3296" ht="18" customHeight="1"/>
    <x:row r="3297" ht="18" customHeight="1"/>
    <x:row r="3298" ht="18" customHeight="1"/>
    <x:row r="3299" ht="18" customHeight="1"/>
    <x:row r="3300" ht="18" customHeight="1"/>
    <x:row r="3301" ht="18" customHeight="1"/>
    <x:row r="3302" ht="18" customHeight="1"/>
    <x:row r="3303" ht="18" customHeight="1"/>
    <x:row r="3304" ht="18" customHeight="1"/>
    <x:row r="3305" ht="18" customHeight="1"/>
    <x:row r="3306" ht="18" customHeight="1"/>
    <x:row r="3307" ht="18" customHeight="1"/>
    <x:row r="3308" ht="18" customHeight="1"/>
    <x:row r="3309" ht="18" customHeight="1"/>
    <x:row r="3310" ht="18" customHeight="1"/>
    <x:row r="3311" ht="18" customHeight="1"/>
    <x:row r="3312" ht="18" customHeight="1"/>
    <x:row r="3313" ht="18" customHeight="1"/>
    <x:row r="3314" ht="18" customHeight="1"/>
    <x:row r="3315" ht="18" customHeight="1"/>
    <x:row r="3316" ht="18" customHeight="1"/>
    <x:row r="3317" ht="18" customHeight="1"/>
    <x:row r="3318" ht="18" customHeight="1"/>
    <x:row r="3319" ht="18" customHeight="1"/>
    <x:row r="3320" ht="18" customHeight="1"/>
    <x:row r="3321" ht="18" customHeight="1"/>
    <x:row r="3322" ht="18" customHeight="1"/>
    <x:row r="3323" ht="18" customHeight="1"/>
    <x:row r="3324" ht="18" customHeight="1"/>
    <x:row r="3325" ht="18" customHeight="1"/>
    <x:row r="3326" ht="18" customHeight="1"/>
    <x:row r="3327" ht="18" customHeight="1"/>
    <x:row r="3328" ht="18" customHeight="1"/>
    <x:row r="3329" ht="18" customHeight="1"/>
    <x:row r="3330" ht="18" customHeight="1"/>
    <x:row r="3331" ht="18" customHeight="1"/>
    <x:row r="3332" ht="18" customHeight="1"/>
    <x:row r="3333" ht="18" customHeight="1"/>
    <x:row r="3334" ht="18" customHeight="1"/>
    <x:row r="3335" ht="18" customHeight="1"/>
    <x:row r="3336" ht="18" customHeight="1"/>
    <x:row r="3337" ht="18" customHeight="1"/>
    <x:row r="3338" ht="18" customHeight="1"/>
    <x:row r="3339" ht="18" customHeight="1"/>
    <x:row r="3340" ht="18" customHeight="1"/>
    <x:row r="3341" ht="18" customHeight="1"/>
    <x:row r="3342" ht="18" customHeight="1"/>
    <x:row r="3343" ht="18" customHeight="1"/>
    <x:row r="3344" ht="18" customHeight="1"/>
    <x:row r="3345" ht="18" customHeight="1"/>
    <x:row r="3346" ht="18" customHeight="1"/>
    <x:row r="3347" ht="18" customHeight="1"/>
    <x:row r="3348" ht="18" customHeight="1"/>
    <x:row r="3349" ht="18" customHeight="1"/>
    <x:row r="3350" ht="18" customHeight="1"/>
    <x:row r="3351" ht="18" customHeight="1"/>
    <x:row r="3352" ht="18" customHeight="1"/>
    <x:row r="3353" ht="18" customHeight="1"/>
    <x:row r="3354" ht="18" customHeight="1"/>
    <x:row r="3355" ht="18" customHeight="1"/>
    <x:row r="3356" ht="18" customHeight="1"/>
    <x:row r="3357" ht="18" customHeight="1"/>
    <x:row r="3358" ht="18" customHeight="1"/>
    <x:row r="3359" ht="18" customHeight="1"/>
    <x:row r="3360" ht="18" customHeight="1"/>
    <x:row r="3361" ht="18" customHeight="1"/>
    <x:row r="3362" ht="18" customHeight="1"/>
    <x:row r="3363" ht="18" customHeight="1"/>
    <x:row r="3364" ht="18" customHeight="1"/>
    <x:row r="3365" ht="18" customHeight="1"/>
    <x:row r="3366" ht="18" customHeight="1"/>
    <x:row r="3367" ht="18" customHeight="1"/>
    <x:row r="3368" ht="18" customHeight="1"/>
    <x:row r="3369" ht="18" customHeight="1"/>
    <x:row r="3370" ht="18" customHeight="1"/>
    <x:row r="3371" ht="18" customHeight="1"/>
    <x:row r="3372" ht="18" customHeight="1"/>
    <x:row r="3373" ht="18" customHeight="1"/>
    <x:row r="3374" ht="18" customHeight="1"/>
    <x:row r="3375" ht="18" customHeight="1"/>
    <x:row r="3376" ht="18" customHeight="1"/>
    <x:row r="3377" ht="18" customHeight="1"/>
    <x:row r="3378" ht="18" customHeight="1"/>
    <x:row r="3379" ht="18" customHeight="1"/>
    <x:row r="3380" ht="18" customHeight="1"/>
    <x:row r="3381" ht="18" customHeight="1"/>
    <x:row r="3382" ht="18" customHeight="1"/>
    <x:row r="3383" ht="18" customHeight="1"/>
    <x:row r="3384" ht="18" customHeight="1"/>
    <x:row r="3385" ht="18" customHeight="1"/>
    <x:row r="3386" ht="18" customHeight="1"/>
    <x:row r="3387" ht="18" customHeight="1"/>
    <x:row r="3388" ht="18" customHeight="1"/>
    <x:row r="3389" ht="18" customHeight="1"/>
    <x:row r="3390" ht="18" customHeight="1"/>
    <x:row r="3391" ht="18" customHeight="1"/>
    <x:row r="3392" ht="18" customHeight="1"/>
    <x:row r="3393" ht="18" customHeight="1"/>
    <x:row r="3394" ht="18" customHeight="1"/>
    <x:row r="3395" ht="18" customHeight="1"/>
    <x:row r="3396" ht="18" customHeight="1"/>
    <x:row r="3397" ht="18" customHeight="1"/>
    <x:row r="3398" ht="18" customHeight="1"/>
    <x:row r="3399" ht="18" customHeight="1"/>
    <x:row r="3400" ht="18" customHeight="1"/>
    <x:row r="3401" ht="18" customHeight="1"/>
    <x:row r="3402" ht="18" customHeight="1"/>
    <x:row r="3403" ht="18" customHeight="1"/>
    <x:row r="3404" ht="18" customHeight="1"/>
    <x:row r="3405" ht="18" customHeight="1"/>
    <x:row r="3406" ht="18" customHeight="1"/>
    <x:row r="3407" ht="18" customHeight="1"/>
    <x:row r="3408" ht="18" customHeight="1"/>
    <x:row r="3409" ht="18" customHeight="1"/>
    <x:row r="3410" ht="18" customHeight="1"/>
    <x:row r="3411" ht="18" customHeight="1"/>
    <x:row r="3412" ht="18" customHeight="1"/>
    <x:row r="3413" ht="18" customHeight="1"/>
    <x:row r="3414" ht="18" customHeight="1"/>
    <x:row r="3415" ht="18" customHeight="1"/>
    <x:row r="3416" ht="18" customHeight="1"/>
    <x:row r="3417" ht="18" customHeight="1"/>
    <x:row r="3418" ht="18" customHeight="1"/>
    <x:row r="3419" ht="18" customHeight="1"/>
    <x:row r="3420" ht="18" customHeight="1"/>
    <x:row r="3421" ht="18" customHeight="1"/>
    <x:row r="3422" ht="18" customHeight="1"/>
    <x:row r="3423" ht="18" customHeight="1"/>
    <x:row r="3424" ht="18" customHeight="1"/>
    <x:row r="3425" ht="18" customHeight="1"/>
    <x:row r="3426" ht="18" customHeight="1"/>
    <x:row r="3427" ht="18" customHeight="1"/>
    <x:row r="3428" ht="18" customHeight="1"/>
    <x:row r="3429" ht="18" customHeight="1"/>
    <x:row r="3430" ht="18" customHeight="1"/>
    <x:row r="3431" ht="18" customHeight="1"/>
    <x:row r="3432" ht="18" customHeight="1"/>
    <x:row r="3433" ht="18" customHeight="1"/>
    <x:row r="3434" ht="18" customHeight="1"/>
    <x:row r="3435" ht="18" customHeight="1"/>
    <x:row r="3436" ht="18" customHeight="1"/>
    <x:row r="3437" ht="18" customHeight="1"/>
    <x:row r="3438" ht="18" customHeight="1"/>
    <x:row r="3439" ht="18" customHeight="1"/>
    <x:row r="3440" ht="18" customHeight="1"/>
    <x:row r="3441" ht="18" customHeight="1"/>
    <x:row r="3442" ht="18" customHeight="1"/>
    <x:row r="3443" ht="18" customHeight="1"/>
    <x:row r="3444" ht="18" customHeight="1"/>
    <x:row r="3445" ht="18" customHeight="1"/>
    <x:row r="3446" ht="18" customHeight="1"/>
    <x:row r="3447" ht="18" customHeight="1"/>
    <x:row r="3448" ht="18" customHeight="1"/>
    <x:row r="3449" ht="18" customHeight="1"/>
    <x:row r="3450" ht="18" customHeight="1"/>
    <x:row r="3451" ht="18" customHeight="1"/>
    <x:row r="3452" ht="18" customHeight="1"/>
    <x:row r="3453" ht="18" customHeight="1"/>
    <x:row r="3454" ht="18" customHeight="1"/>
    <x:row r="3455" ht="18" customHeight="1"/>
    <x:row r="3456" ht="18" customHeight="1"/>
    <x:row r="3457" ht="18" customHeight="1"/>
    <x:row r="3458" ht="18" customHeight="1"/>
    <x:row r="3459" ht="18" customHeight="1"/>
    <x:row r="3460" ht="18" customHeight="1"/>
    <x:row r="3461" ht="18" customHeight="1"/>
    <x:row r="3462" ht="18" customHeight="1"/>
    <x:row r="3463" ht="18" customHeight="1"/>
    <x:row r="3464" ht="18" customHeight="1"/>
    <x:row r="3465" ht="18" customHeight="1"/>
    <x:row r="3466" ht="18" customHeight="1"/>
    <x:row r="3467" ht="18" customHeight="1"/>
    <x:row r="3468" ht="18" customHeight="1"/>
    <x:row r="3469" ht="18" customHeight="1"/>
    <x:row r="3470" ht="18" customHeight="1"/>
    <x:row r="3471" ht="18" customHeight="1"/>
    <x:row r="3472" ht="18" customHeight="1"/>
    <x:row r="3473" ht="18" customHeight="1"/>
    <x:row r="3474" ht="18" customHeight="1"/>
    <x:row r="3475" ht="18" customHeight="1"/>
    <x:row r="3476" ht="18" customHeight="1"/>
    <x:row r="3477" ht="18" customHeight="1"/>
    <x:row r="3478" ht="18" customHeight="1"/>
    <x:row r="3479" ht="18" customHeight="1"/>
    <x:row r="3480" ht="18" customHeight="1"/>
    <x:row r="3481" ht="18" customHeight="1"/>
    <x:row r="3482" ht="18" customHeight="1"/>
    <x:row r="3483" ht="18" customHeight="1"/>
    <x:row r="3484" ht="18" customHeight="1"/>
    <x:row r="3485" ht="18" customHeight="1"/>
    <x:row r="3486" ht="18" customHeight="1"/>
    <x:row r="3487" ht="18" customHeight="1"/>
    <x:row r="3488" ht="18" customHeight="1"/>
    <x:row r="3489" ht="18" customHeight="1"/>
    <x:row r="3490" ht="18" customHeight="1"/>
    <x:row r="3491" ht="18" customHeight="1"/>
    <x:row r="3492" ht="18" customHeight="1"/>
    <x:row r="3493" ht="18" customHeight="1"/>
    <x:row r="3494" ht="18" customHeight="1"/>
    <x:row r="3495" ht="18" customHeight="1"/>
    <x:row r="3496" ht="18" customHeight="1"/>
    <x:row r="3497" ht="18" customHeight="1"/>
    <x:row r="3498" ht="18" customHeight="1"/>
    <x:row r="3499" ht="18" customHeight="1"/>
    <x:row r="3500" ht="18" customHeight="1"/>
    <x:row r="3501" ht="18" customHeight="1"/>
    <x:row r="3502" ht="18" customHeight="1"/>
    <x:row r="3503" ht="18" customHeight="1"/>
    <x:row r="3504" ht="18" customHeight="1"/>
    <x:row r="3505" ht="18" customHeight="1"/>
    <x:row r="3506" ht="18" customHeight="1"/>
    <x:row r="3507" ht="18" customHeight="1"/>
    <x:row r="3508" ht="18" customHeight="1"/>
    <x:row r="3509" ht="18" customHeight="1"/>
    <x:row r="3510" ht="18" customHeight="1"/>
    <x:row r="3511" ht="18" customHeight="1"/>
    <x:row r="3512" ht="18" customHeight="1"/>
    <x:row r="3513" ht="18" customHeight="1"/>
    <x:row r="3514" ht="18" customHeight="1"/>
    <x:row r="3515" ht="18" customHeight="1"/>
    <x:row r="3516" ht="18" customHeight="1"/>
    <x:row r="3517" ht="18" customHeight="1"/>
    <x:row r="3518" ht="18" customHeight="1"/>
    <x:row r="3519" ht="18" customHeight="1"/>
    <x:row r="3520" ht="18" customHeight="1"/>
    <x:row r="3521" ht="18" customHeight="1"/>
    <x:row r="3522" ht="18" customHeight="1"/>
    <x:row r="3523" ht="18" customHeight="1"/>
    <x:row r="3524" ht="18" customHeight="1"/>
    <x:row r="3525" ht="18" customHeight="1"/>
    <x:row r="3526" ht="18" customHeight="1"/>
    <x:row r="3527" ht="18" customHeight="1"/>
    <x:row r="3528" ht="18" customHeight="1"/>
    <x:row r="3529" ht="18" customHeight="1"/>
    <x:row r="3530" ht="18" customHeight="1"/>
    <x:row r="3531" ht="18" customHeight="1"/>
    <x:row r="3532" ht="18" customHeight="1"/>
    <x:row r="3533" ht="18" customHeight="1"/>
    <x:row r="3534" ht="18" customHeight="1"/>
    <x:row r="3535" ht="18" customHeight="1"/>
    <x:row r="3536" ht="18" customHeight="1"/>
    <x:row r="3537" ht="18" customHeight="1"/>
    <x:row r="3538" ht="18" customHeight="1"/>
    <x:row r="3539" ht="18" customHeight="1"/>
    <x:row r="3540" ht="18" customHeight="1"/>
    <x:row r="3541" ht="18" customHeight="1"/>
    <x:row r="3542" ht="18" customHeight="1"/>
    <x:row r="3543" ht="18" customHeight="1"/>
    <x:row r="3544" ht="18" customHeight="1"/>
    <x:row r="3545" ht="18" customHeight="1"/>
    <x:row r="3546" ht="18" customHeight="1"/>
    <x:row r="3547" ht="18" customHeight="1"/>
    <x:row r="3548" ht="18" customHeight="1"/>
    <x:row r="3549" ht="18" customHeight="1"/>
    <x:row r="3550" ht="18" customHeight="1"/>
    <x:row r="3551" ht="18" customHeight="1"/>
    <x:row r="3552" ht="18" customHeight="1"/>
    <x:row r="3553" ht="18" customHeight="1"/>
    <x:row r="3554" ht="18" customHeight="1"/>
    <x:row r="3555" ht="18" customHeight="1"/>
    <x:row r="3556" ht="18" customHeight="1"/>
    <x:row r="3557" ht="18" customHeight="1"/>
    <x:row r="3558" ht="18" customHeight="1"/>
    <x:row r="3559" ht="18" customHeight="1"/>
    <x:row r="3560" ht="18" customHeight="1"/>
    <x:row r="3561" ht="18" customHeight="1"/>
    <x:row r="3562" ht="18" customHeight="1"/>
    <x:row r="3563" ht="18" customHeight="1"/>
    <x:row r="3564" ht="18" customHeight="1"/>
    <x:row r="3565" ht="18" customHeight="1"/>
    <x:row r="3566" ht="18" customHeight="1"/>
    <x:row r="3567" ht="18" customHeight="1"/>
    <x:row r="3568" ht="18" customHeight="1"/>
    <x:row r="3569" ht="18" customHeight="1"/>
    <x:row r="3570" ht="18" customHeight="1"/>
    <x:row r="3571" ht="18" customHeight="1"/>
    <x:row r="3572" ht="18" customHeight="1"/>
    <x:row r="3573" ht="18" customHeight="1"/>
    <x:row r="3574" ht="18" customHeight="1"/>
    <x:row r="3575" ht="18" customHeight="1"/>
    <x:row r="3576" ht="18" customHeight="1"/>
    <x:row r="3577" ht="18" customHeight="1"/>
    <x:row r="3578" ht="18" customHeight="1"/>
    <x:row r="3579" ht="18" customHeight="1"/>
    <x:row r="3580" ht="18" customHeight="1"/>
    <x:row r="3581" ht="18" customHeight="1"/>
    <x:row r="3582" ht="18" customHeight="1"/>
    <x:row r="3583" ht="18" customHeight="1"/>
    <x:row r="3584" ht="18" customHeight="1"/>
    <x:row r="3585" ht="18" customHeight="1"/>
    <x:row r="3586" ht="18" customHeight="1"/>
    <x:row r="3587" ht="18" customHeight="1"/>
    <x:row r="3588" ht="18" customHeight="1"/>
    <x:row r="3589" ht="18" customHeight="1"/>
    <x:row r="3590" ht="18" customHeight="1"/>
    <x:row r="3591" ht="18" customHeight="1"/>
    <x:row r="3592" ht="18" customHeight="1"/>
    <x:row r="3593" ht="18" customHeight="1"/>
    <x:row r="3594" ht="18" customHeight="1"/>
    <x:row r="3595" ht="18" customHeight="1"/>
    <x:row r="3596" ht="18" customHeight="1"/>
    <x:row r="3597" ht="18" customHeight="1"/>
    <x:row r="3598" ht="18" customHeight="1"/>
    <x:row r="3599" ht="18" customHeight="1"/>
    <x:row r="3600" ht="18" customHeight="1"/>
    <x:row r="3601" ht="18" customHeight="1"/>
    <x:row r="3602" ht="18" customHeight="1"/>
    <x:row r="3603" ht="18" customHeight="1"/>
    <x:row r="3604" ht="18" customHeight="1"/>
    <x:row r="3605" ht="18" customHeight="1"/>
    <x:row r="3606" ht="18" customHeight="1"/>
    <x:row r="3607" ht="18" customHeight="1"/>
    <x:row r="3608" ht="18" customHeight="1"/>
    <x:row r="3609" ht="18" customHeight="1"/>
    <x:row r="3610" ht="18" customHeight="1"/>
    <x:row r="3611" ht="18" customHeight="1"/>
    <x:row r="3612" ht="18" customHeight="1"/>
    <x:row r="3613" ht="18" customHeight="1"/>
    <x:row r="3614" ht="18" customHeight="1"/>
    <x:row r="3615" ht="18" customHeight="1"/>
    <x:row r="3616" ht="18" customHeight="1"/>
    <x:row r="3617" ht="18" customHeight="1"/>
    <x:row r="3618" ht="18" customHeight="1"/>
    <x:row r="3619" ht="18" customHeight="1"/>
    <x:row r="3620" ht="18" customHeight="1"/>
    <x:row r="3621" ht="18" customHeight="1"/>
    <x:row r="3622" ht="18" customHeight="1"/>
    <x:row r="3623" ht="18" customHeight="1"/>
    <x:row r="3624" ht="18" customHeight="1"/>
    <x:row r="3625" ht="18" customHeight="1"/>
    <x:row r="3626" ht="18" customHeight="1"/>
    <x:row r="3627" ht="18" customHeight="1"/>
    <x:row r="3628" ht="18" customHeight="1"/>
    <x:row r="3629" ht="18" customHeight="1"/>
    <x:row r="3630" ht="18" customHeight="1"/>
    <x:row r="3631" ht="18" customHeight="1"/>
    <x:row r="3632" ht="18" customHeight="1"/>
    <x:row r="3633" ht="18" customHeight="1"/>
    <x:row r="3634" ht="18" customHeight="1"/>
    <x:row r="3635" ht="18" customHeight="1"/>
    <x:row r="3636" ht="18" customHeight="1"/>
    <x:row r="3637" ht="18" customHeight="1"/>
    <x:row r="3638" ht="18" customHeight="1"/>
    <x:row r="3639" ht="18" customHeight="1"/>
    <x:row r="3640" ht="18" customHeight="1"/>
    <x:row r="3641" ht="18" customHeight="1"/>
    <x:row r="3642" ht="18" customHeight="1"/>
    <x:row r="3643" ht="18" customHeight="1"/>
    <x:row r="3644" ht="18" customHeight="1"/>
    <x:row r="3645" ht="18" customHeight="1"/>
    <x:row r="3646" ht="18" customHeight="1"/>
    <x:row r="3647" ht="18" customHeight="1"/>
    <x:row r="3648" ht="18" customHeight="1"/>
    <x:row r="3649" ht="18" customHeight="1"/>
    <x:row r="3650" ht="18" customHeight="1"/>
    <x:row r="3651" ht="18" customHeight="1"/>
    <x:row r="3652" ht="18" customHeight="1"/>
    <x:row r="3653" ht="18" customHeight="1"/>
    <x:row r="3654" ht="18" customHeight="1"/>
  </x:sheetData>
  <x:dataValidations count="3">
    <x:dataValidation type="list" sqref="B5:B120">
      <x:formula1>"21,22,23,24,25"</x:formula1>
    </x:dataValidation>
    <x:dataValidation type="list" sqref="D5:D120">
      <x:formula1>"AM,PM"</x:formula1>
    </x:dataValidation>
    <x:dataValidation type="decimal" operator="between" sqref="H5:R120">
      <x:formula1>0</x:formula1>
      <x:formula2>1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cadb5dfcc2d84ac8"/>
  </x:tableParts>
</x:worksheet>
</file>