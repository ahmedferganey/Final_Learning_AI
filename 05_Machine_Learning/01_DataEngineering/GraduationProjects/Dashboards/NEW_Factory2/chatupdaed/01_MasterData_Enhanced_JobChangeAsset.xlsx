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.xml" ContentType="application/vnd.openxmlformats-officedocument.spreadsheetml.table+xml"/>
  <Override PartName="/xl/worksheets/sheet17.xml" ContentType="application/vnd.openxmlformats-officedocument.spreadsheetml.worksheet+xml"/>
  <Override PartName="/xl/tables/table2.xml" ContentType="application/vnd.openxmlformats-officedocument.spreadsheetml.table+xml"/>
  <Override PartName="/xl/worksheets/sheet18.xml" ContentType="application/vnd.openxmlformats-officedocument.spreadsheetml.worksheet+xml"/>
  <Override PartName="/xl/tables/table3.xml" ContentType="application/vnd.openxmlformats-officedocument.spreadsheetml.table+xml"/>
  <Override PartName="/xl/worksheets/sheet19.xml" ContentType="application/vnd.openxmlformats-officedocument.spreadsheetml.worksheet+xml"/>
  <Override PartName="/xl/tables/table4.xml" ContentType="application/vnd.openxmlformats-officedocument.spreadsheetml.table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5b9bd55ed4e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196028f9fd148c8"/>
    <x:sheet xmlns:r="http://schemas.openxmlformats.org/officeDocument/2006/relationships" name="Customers" sheetId="2" r:id="R27a0e5916eaa4f29"/>
    <x:sheet xmlns:r="http://schemas.openxmlformats.org/officeDocument/2006/relationships" name="Products" sheetId="3" r:id="R1e706b2404db4f65"/>
    <x:sheet xmlns:r="http://schemas.openxmlformats.org/officeDocument/2006/relationships" name="Orders" sheetId="4" r:id="R36d001d3b27a4dea"/>
    <x:sheet xmlns:r="http://schemas.openxmlformats.org/officeDocument/2006/relationships" name="DefectName" sheetId="5" r:id="Rf655803f050c4ec3"/>
    <x:sheet xmlns:r="http://schemas.openxmlformats.org/officeDocument/2006/relationships" name="HE_DowntimeReason" sheetId="6" r:id="R49384ed1b60047fb"/>
    <x:sheet xmlns:r="http://schemas.openxmlformats.org/officeDocument/2006/relationships" name="CE_LossesReason" sheetId="7" r:id="R6bb6e560ff1f414e"/>
    <x:sheet xmlns:r="http://schemas.openxmlformats.org/officeDocument/2006/relationships" name="PalletizerReason" sheetId="8" r:id="R1ded67704dce43b2"/>
    <x:sheet xmlns:r="http://schemas.openxmlformats.org/officeDocument/2006/relationships" name="ReworkStatus" sheetId="9" r:id="Rc0069ae6cc7a4afd"/>
    <x:sheet xmlns:r="http://schemas.openxmlformats.org/officeDocument/2006/relationships" name="CaseName" sheetId="10" r:id="R8ccc33b4c001430b"/>
    <x:sheet xmlns:r="http://schemas.openxmlformats.org/officeDocument/2006/relationships" name="Crew" sheetId="11" r:id="Rf3e938fe5b5a42d2"/>
    <x:sheet xmlns:r="http://schemas.openxmlformats.org/officeDocument/2006/relationships" name="Shifts" sheetId="12" r:id="Rb8aa337c284f4145"/>
    <x:sheet xmlns:r="http://schemas.openxmlformats.org/officeDocument/2006/relationships" name="Lines" sheetId="13" r:id="R8f6ef7ca4c1644f0"/>
    <x:sheet xmlns:r="http://schemas.openxmlformats.org/officeDocument/2006/relationships" name="JobChangeTypes" sheetId="14" r:id="Rdb84ba2657494702"/>
    <x:sheet xmlns:r="http://schemas.openxmlformats.org/officeDocument/2006/relationships" name="Lookups" sheetId="15" r:id="Rd424918ef5db4d1d"/>
    <x:sheet xmlns:r="http://schemas.openxmlformats.org/officeDocument/2006/relationships" name="MachineCapability" sheetId="16" r:id="Rdf05e6f51dc04d5b"/>
    <x:sheet xmlns:r="http://schemas.openxmlformats.org/officeDocument/2006/relationships" name="AssetScope" sheetId="17" r:id="R4a9e8341bab3491d"/>
    <x:sheet xmlns:r="http://schemas.openxmlformats.org/officeDocument/2006/relationships" name="ProductLineStandardSetup" sheetId="18" r:id="R9228a96ed78d4f18"/>
    <x:sheet xmlns:r="http://schemas.openxmlformats.org/officeDocument/2006/relationships" name="JobChangeImpactReasons" sheetId="19" r:id="R932234248e1d40c6"/>
    <x:sheet xmlns:r="http://schemas.openxmlformats.org/officeDocument/2006/relationships" name="DataChecks" sheetId="20" r:id="R77ee912198c144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03438"/>
      </x:patternFill>
    </x:fill>
    <x:fill>
      <x:patternFill patternType="solid">
        <x:fgColor rgb="FF27345F"/>
      </x:patternFill>
    </x:fill>
    <x:fill>
      <x:patternFill patternType="solid">
        <x:fgColor rgb="FFFFF4CC"/>
      </x:patternFill>
    </x:fill>
    <x:fill>
      <x:patternFill patternType="solid">
        <x:fgColor rgb="FFEAF3F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b1dcba55c642e4" /><Relationship Type="http://schemas.openxmlformats.org/officeDocument/2006/relationships/theme" Target="/xl/theme/theme1.xml" Id="Rd3c7bf8797bf4a42" /><Relationship Type="http://schemas.openxmlformats.org/officeDocument/2006/relationships/sharedStrings" Target="/xl/sharedStrings.xml" Id="Rb0144dd915d1499e" /><Relationship Type="http://schemas.openxmlformats.org/officeDocument/2006/relationships/worksheet" Target="/xl/worksheets/sheet1.xml" Id="R0196028f9fd148c8" /><Relationship Type="http://schemas.openxmlformats.org/officeDocument/2006/relationships/worksheet" Target="/xl/worksheets/sheet2.xml" Id="R27a0e5916eaa4f29" /><Relationship Type="http://schemas.openxmlformats.org/officeDocument/2006/relationships/worksheet" Target="/xl/worksheets/sheet3.xml" Id="R1e706b2404db4f65" /><Relationship Type="http://schemas.openxmlformats.org/officeDocument/2006/relationships/worksheet" Target="/xl/worksheets/sheet4.xml" Id="R36d001d3b27a4dea" /><Relationship Type="http://schemas.openxmlformats.org/officeDocument/2006/relationships/worksheet" Target="/xl/worksheets/sheet5.xml" Id="Rf655803f050c4ec3" /><Relationship Type="http://schemas.openxmlformats.org/officeDocument/2006/relationships/worksheet" Target="/xl/worksheets/sheet6.xml" Id="R49384ed1b60047fb" /><Relationship Type="http://schemas.openxmlformats.org/officeDocument/2006/relationships/worksheet" Target="/xl/worksheets/sheet7.xml" Id="R6bb6e560ff1f414e" /><Relationship Type="http://schemas.openxmlformats.org/officeDocument/2006/relationships/worksheet" Target="/xl/worksheets/sheet8.xml" Id="R1ded67704dce43b2" /><Relationship Type="http://schemas.openxmlformats.org/officeDocument/2006/relationships/worksheet" Target="/xl/worksheets/sheet9.xml" Id="Rc0069ae6cc7a4afd" /><Relationship Type="http://schemas.openxmlformats.org/officeDocument/2006/relationships/worksheet" Target="/xl/worksheets/sheet10.xml" Id="R8ccc33b4c001430b" /><Relationship Type="http://schemas.openxmlformats.org/officeDocument/2006/relationships/worksheet" Target="/xl/worksheets/sheet11.xml" Id="Rf3e938fe5b5a42d2" /><Relationship Type="http://schemas.openxmlformats.org/officeDocument/2006/relationships/worksheet" Target="/xl/worksheets/sheet12.xml" Id="Rb8aa337c284f4145" /><Relationship Type="http://schemas.openxmlformats.org/officeDocument/2006/relationships/worksheet" Target="/xl/worksheets/sheet13.xml" Id="R8f6ef7ca4c1644f0" /><Relationship Type="http://schemas.openxmlformats.org/officeDocument/2006/relationships/worksheet" Target="/xl/worksheets/sheet14.xml" Id="Rdb84ba2657494702" /><Relationship Type="http://schemas.openxmlformats.org/officeDocument/2006/relationships/worksheet" Target="/xl/worksheets/sheet15.xml" Id="Rd424918ef5db4d1d" /><Relationship Type="http://schemas.openxmlformats.org/officeDocument/2006/relationships/worksheet" Target="/xl/worksheets/sheet16.xml" Id="Rdf05e6f51dc04d5b" /><Relationship Type="http://schemas.openxmlformats.org/officeDocument/2006/relationships/worksheet" Target="/xl/worksheets/sheet17.xml" Id="R4a9e8341bab3491d" /><Relationship Type="http://schemas.openxmlformats.org/officeDocument/2006/relationships/worksheet" Target="/xl/worksheets/sheet18.xml" Id="R9228a96ed78d4f18" /><Relationship Type="http://schemas.openxmlformats.org/officeDocument/2006/relationships/worksheet" Target="/xl/worksheets/sheet19.xml" Id="R932234248e1d40c6" /><Relationship Type="http://schemas.openxmlformats.org/officeDocument/2006/relationships/worksheet" Target="/xl/worksheets/sheet20.xml" Id="R77ee912198c14423" /></Relationships>
</file>

<file path=xl/tables/table1.xml><?xml version="1.0" encoding="utf-8"?>
<x:table xmlns:x="http://schemas.openxmlformats.org/spreadsheetml/2006/main" id="1" name="MachineCapabilityTable" displayName="MachineCapabilityTable" ref="A4:G9" headerRowCount="1" totalsRowCount="0" totalsRowShown="0">
  <x:tableColumns count="7">
    <x:tableColumn id="1" name="FactoryCode"/>
    <x:tableColumn id="2" name="LineNumber"/>
    <x:tableColumn id="3" name="PhysicalSections"/>
    <x:tableColumn id="4" name="MaxCavitiesPerSection"/>
    <x:tableColumn id="5" name="MaxCavitySlots"/>
    <x:tableColumn id="6" name="LineStatus"/>
    <x:tableColumn id="7" name="Capability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etScopeTable" displayName="AssetScopeTable" ref="A4:J269" headerRowCount="1" totalsRowCount="0" totalsRowShown="0">
  <x:tableColumns count="10">
    <x:tableColumn id="1" name="AssetScopeID"/>
    <x:tableColumn id="2" name="AssetLevel"/>
    <x:tableColumn id="3" name="ParentAssetScopeID"/>
    <x:tableColumn id="4" name="FactoryCode"/>
    <x:tableColumn id="5" name="LineNumber"/>
    <x:tableColumn id="6" name="SectionNumber"/>
    <x:tableColumn id="7" name="CavityNumber"/>
    <x:tableColumn id="8" name="AssetLabel"/>
    <x:tableColumn id="9" name="IsPhysicallyAvailable"/>
    <x:tableColumn id="10" name="HierarchyChec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LineStandardSetupTable" displayName="ProductLineStandardSetupTable" ref="A4:L15" headerRowCount="1" totalsRowCount="0" totalsRowShown="0">
  <x:tableColumns count="12">
    <x:tableColumn id="1" name="ProductLineSetupID"/>
    <x:tableColumn id="2" name="FactoryCode"/>
    <x:tableColumn id="3" name="LineNumber"/>
    <x:tableColumn id="4" name="ProductCode"/>
    <x:tableColumn id="5" name="IsApproved"/>
    <x:tableColumn id="6" name="StandardActiveSections"/>
    <x:tableColumn id="7" name="StandardCavitiesPerSection"/>
    <x:tableColumn id="8" name="StandardActiveCavities"/>
    <x:tableColumn id="9" name="PhysicalSections"/>
    <x:tableColumn id="10" name="MaxCavitiesPerSection"/>
    <x:tableColumn id="11" name="CapabilityCheck"/>
    <x:tableColumn id="12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JobChangeImpactReasonsTable" displayName="JobChangeImpactReasonsTable" ref="A4:E34" headerRowCount="1" totalsRowCount="0" totalsRowShown="0">
  <x:tableColumns count="5">
    <x:tableColumn id="1" name="LossArea"/>
    <x:tableColumn id="2" name="ReasonCode"/>
    <x:tableColumn id="3" name="ReasonName"/>
    <x:tableColumn id="4" name="ReasonAreaKey"/>
    <x:tableColumn id="5" name="ReasonRequir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.xml" Id="R19f3709c5f3547a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2.xml" Id="Rcc78de601c4d49c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3.xml" Id="R202775d5b5de4e8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4.xml" Id="Rb671371b757045f1" /></Relationships>
</file>

<file path=xl/worksheets/sheet1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3" t="str">
        <x:v>KANDIL GLASS — MASTER DATA WORKBOOK</x:v>
      </x:c>
    </x:row>
    <x:row r="2">
      <x:c r="A2" s="13"/>
    </x:row>
    <x:row r="3">
      <x:c r="A3" s="13" t="str">
        <x:v>Owner: Planning / Sales / IT</x:v>
      </x:c>
    </x:row>
    <x:row r="4">
      <x:c r="A4" s="13"/>
    </x:row>
    <x:row r="5">
      <x:c r="A5" s="13" t="str">
        <x:v>Purpose: Maintain customers, products, orders, job-change types, lines and all dropdown lists.</x:v>
      </x:c>
    </x:row>
    <x:row r="6">
      <x:c r="A6" s="13"/>
    </x:row>
    <x:row r="7">
      <x:c r="A7" s="13" t="str">
        <x:v>Rules:</x:v>
      </x:c>
    </x:row>
    <x:row r="8">
      <x:c r="A8" s="13" t="str">
        <x:v>1. Never change column header names.</x:v>
      </x:c>
    </x:row>
    <x:row r="9">
      <x:c r="A9" s="13" t="str">
        <x:v>2. Codes must be unique.</x:v>
      </x:c>
    </x:row>
    <x:row r="10">
      <x:c r="A10" s="13" t="str">
        <x:v>3. New codes are added HERE first, then appear in other workbooks' dropdowns.</x:v>
      </x:c>
    </x:row>
    <x:row r="11">
      <x:c r="A11" s="13" t="str">
        <x:v>4. Yellow cells = dropdown. Blue cells = input.</x:v>
      </x:c>
    </x:row>
    <x:row r="12">
      <x:c r="A12" s="13" t="str">
        <x:v>5. Load this file into Staging BEFORE any daily transactional files.</x:v>
      </x:c>
    </x:row>
    <x:row r="13">
      <x:c r="A13" s="13"/>
    </x:row>
    <x:row r="14">
      <x:c r="A14" s="13" t="str">
        <x:v>JobChangeType official values: Small, Medium, Big, Process</x:v>
      </x:c>
    </x:row>
    <x:row r="15">
      <x:c r="A15" s="13"/>
    </x:row>
    <x:row r="16">
      <x:c r="A16" s="13" t="str">
        <x:v>Dataset: one-week subset for DWH / Power BI testing (2025-10-20 to 2025-10-26); synthetic operational data.</x:v>
      </x:c>
    </x:row>
    <x:row r="17">
      <x:c r="A17" s="13"/>
    </x:row>
    <x:row r="18">
      <x:c r="A18" s="13" t="str">
        <x:v>ENHANCED JOB CHANGE / ASSET MODEL</x:v>
      </x:c>
    </x:row>
    <x:row r="19">
      <x:c r="A19" s="13" t="str">
        <x:v>Physical capability for Lines 21–25 = 13 sections × max 3 cavity positions.</x:v>
      </x:c>
    </x:row>
    <x:row r="20">
      <x:c r="A20" s="13" t="str">
        <x:v>Existing sheets and original column names are preserved.</x:v>
      </x:c>
    </x:row>
    <x:row r="21">
      <x:c r="A21" s="13" t="str">
        <x:v>MachineCapability = physical limits, not active run configuration.</x:v>
      </x:c>
    </x:row>
    <x:row r="22">
      <x:c r="A22" s="13" t="str">
        <x:v>AssetScope = Line → Section → Cavity hierarchy used by detailed impacts.</x:v>
      </x:c>
    </x:row>
    <x:row r="23">
      <x:c r="A23" s="13" t="str">
        <x:v>ProductLineStandardSetup = approved line/product subset + baseline counts.</x:v>
      </x:c>
    </x:row>
    <x:row r="24">
      <x:c r="A24" s="13" t="str">
        <x:v>JobChangeImpactReasons = normalized reason master for detailed impact rows.</x:v>
      </x:c>
    </x:row>
    <x:row r="25">
      <x:c r="A25" s="13" t="str">
        <x:v>Exact active positions are recorded in 02_Supervisor_Log → ProductionConfiguration.</x:v>
      </x:c>
    </x:row>
    <x:row r="26">
      <x:c r="A26" s="13" t="str">
        <x:v>Historical rows with NoCavities=4 are normalized in the enhanced Supervisor workbook; cycle rate is adjusted to preserve designed throughput.</x:v>
      </x:c>
    </x:row>
    <x:row r="27">
      <x:c r="A27" s="13" t="str">
        <x:v>Review DataChecks before loading to SQL Server / Power BI.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1.5" hidden="0" customWidth="1"/>
    <x:col min="2" max="2" width="12.5" hidden="0" customWidth="1"/>
    <x:col min="3" max="3" width="10.25" hidden="0" customWidth="1"/>
  </x:cols>
  <x:sheetData>
    <x:row r="1">
      <x:c r="A1" s="12" t="str">
        <x:v>Master Data — Customers</x:v>
      </x:c>
      <x:c r="B1" s="12"/>
      <x:c r="C1" s="12"/>
    </x:row>
    <x:row r="2">
      <x:c r="A2" s="13" t="str">
        <x:v>Maps to STG_CUSTOMER → DIM_CUSTOMER</x:v>
      </x:c>
      <x:c r="B2" s="13"/>
      <x:c r="C2" s="13"/>
    </x:row>
    <x:row r="3">
      <x:c r="A3" s="13" t="str">
        <x:v>One row per customer. CustomerCode must be unique.</x:v>
      </x:c>
      <x:c r="B3" s="13"/>
      <x:c r="C3" s="13"/>
    </x:row>
    <x:row r="4">
      <x:c r="A4" s="8" t="str">
        <x:v>CustomerCode</x:v>
      </x:c>
      <x:c r="B4" s="8" t="str">
        <x:v>CustomerName</x:v>
      </x:c>
      <x:c r="C4" s="8" t="str">
        <x:v>CountryType</x:v>
      </x:c>
    </x:row>
    <x:row r="5">
      <x:c r="A5" s="13" t="str">
        <x:v>CUST001</x:v>
      </x:c>
      <x:c r="B5" s="13" t="str">
        <x:v>Coca-Cola Egypt</x:v>
      </x:c>
      <x:c r="C5" s="13" t="str">
        <x:v>Local</x:v>
      </x:c>
    </x:row>
    <x:row r="6">
      <x:c r="A6" s="13" t="str">
        <x:v>CUST002</x:v>
      </x:c>
      <x:c r="B6" s="13" t="str">
        <x:v>PepsiCo Egypt</x:v>
      </x:c>
      <x:c r="C6" s="13" t="str">
        <x:v>Local</x:v>
      </x:c>
    </x:row>
    <x:row r="7">
      <x:c r="A7" s="13" t="str">
        <x:v>CUST003</x:v>
      </x:c>
      <x:c r="B7" s="13" t="str">
        <x:v>Nestle Waters</x:v>
      </x:c>
      <x:c r="C7" s="13" t="str">
        <x:v>Export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4.5" hidden="0" customWidth="1"/>
    <x:col min="2" max="2" width="15.380000114440918" hidden="0" customWidth="1"/>
    <x:col min="3" max="3" width="7.380000114440918" hidden="0" customWidth="1"/>
    <x:col min="4" max="4" width="11.75" hidden="0" customWidth="1"/>
  </x:cols>
  <x:sheetData>
    <x:row r="1">
      <x:c r="A1" s="12" t="str">
        <x:v>Master Data — Products</x:v>
      </x:c>
      <x:c r="B1" s="12"/>
      <x:c r="C1" s="12"/>
      <x:c r="D1" s="12"/>
    </x:row>
    <x:row r="2">
      <x:c r="A2" s="13" t="str">
        <x:v>Maps to STG_PRODUCT → DIM_PRODUCT</x:v>
      </x:c>
      <x:c r="B2" s="13"/>
      <x:c r="C2" s="13"/>
      <x:c r="D2" s="13"/>
    </x:row>
    <x:row r="3">
      <x:c r="A3" s="13" t="str">
        <x:v>ProductCode unique. Category = Jar or Bottle. CustomerCode must exist in Customers.</x:v>
      </x:c>
      <x:c r="B3" s="13"/>
      <x:c r="C3" s="13"/>
      <x:c r="D3" s="13"/>
    </x:row>
    <x:row r="4">
      <x:c r="A4" s="8" t="str">
        <x:v>ProductCode</x:v>
      </x:c>
      <x:c r="B4" s="8" t="str">
        <x:v>ProductName</x:v>
      </x:c>
      <x:c r="C4" s="8" t="str">
        <x:v>Category</x:v>
      </x:c>
      <x:c r="D4" s="8" t="str">
        <x:v>CustomerCode</x:v>
      </x:c>
    </x:row>
    <x:row r="5">
      <x:c r="A5" s="13" t="str">
        <x:v>PRD-JAR-330</x:v>
      </x:c>
      <x:c r="B5" s="13" t="str">
        <x:v>Jar 330ml Twist-off</x:v>
      </x:c>
      <x:c r="C5" s="13" t="str">
        <x:v>Jar</x:v>
      </x:c>
      <x:c r="D5" s="13" t="str">
        <x:v>CUST001</x:v>
      </x:c>
    </x:row>
    <x:row r="6">
      <x:c r="A6" s="13" t="str">
        <x:v>PRD-BOT-500</x:v>
      </x:c>
      <x:c r="B6" s="13" t="str">
        <x:v>Bottle 500ml Crown</x:v>
      </x:c>
      <x:c r="C6" s="13" t="str">
        <x:v>Bottle</x:v>
      </x:c>
      <x:c r="D6" s="13" t="str">
        <x:v>CUST002</x:v>
      </x:c>
    </x:row>
    <x:row r="7">
      <x:c r="A7" s="13" t="str">
        <x:v>PRD-JAR-720</x:v>
      </x:c>
      <x:c r="B7" s="13" t="str">
        <x:v>Jar 720ml Lug Cap</x:v>
      </x:c>
      <x:c r="C7" s="13" t="str">
        <x:v>Jar</x:v>
      </x:c>
      <x:c r="D7" s="13" t="str">
        <x:v>CUST001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1.25" hidden="0" customWidth="1"/>
    <x:col min="2" max="2" width="10.5" hidden="0" customWidth="1"/>
    <x:col min="3" max="3" width="11.75" hidden="0" customWidth="1"/>
    <x:col min="4" max="4" width="13.880000114440918" hidden="0" customWidth="1"/>
  </x:cols>
  <x:sheetData>
    <x:row r="1">
      <x:c r="A1" s="12" t="str">
        <x:v>Master Data — Orders</x:v>
      </x:c>
      <x:c r="B1" s="12"/>
      <x:c r="C1" s="12"/>
      <x:c r="D1" s="12"/>
    </x:row>
    <x:row r="2">
      <x:c r="A2" s="13" t="str">
        <x:v>Maps to STG_ORDER → DIM_ORDER</x:v>
      </x:c>
      <x:c r="B2" s="13"/>
      <x:c r="C2" s="13"/>
      <x:c r="D2" s="13"/>
    </x:row>
    <x:row r="3">
      <x:c r="A3" s="13" t="str">
        <x:v>OrderNumber unique. TotalMoltenUnits = Packed + Rejected + Hold.</x:v>
      </x:c>
      <x:c r="B3" s="13"/>
      <x:c r="C3" s="13"/>
      <x:c r="D3" s="13"/>
    </x:row>
    <x:row r="4">
      <x:c r="A4" s="8" t="str">
        <x:v>OrderNumber</x:v>
      </x:c>
      <x:c r="B4" s="8" t="str">
        <x:v>ProductCode</x:v>
      </x:c>
      <x:c r="C4" s="8" t="str">
        <x:v>CustomerCode</x:v>
      </x:c>
      <x:c r="D4" s="8" t="str">
        <x:v>TotalMoltenUnits</x:v>
      </x:c>
    </x:row>
    <x:row r="5">
      <x:c r="A5" s="13" t="str">
        <x:v>ORD-2025-00019</x:v>
      </x:c>
      <x:c r="B5" s="13" t="str">
        <x:v>PRD-JAR-330</x:v>
      </x:c>
      <x:c r="C5" s="13" t="str">
        <x:v>CUST001</x:v>
      </x:c>
      <x:c r="D5" s="13" t="n">
        <x:v>1548306</x:v>
      </x:c>
    </x:row>
    <x:row r="6">
      <x:c r="A6" s="13" t="str">
        <x:v>ORD-2025-00020</x:v>
      </x:c>
      <x:c r="B6" s="13" t="str">
        <x:v>PRD-JAR-720</x:v>
      </x:c>
      <x:c r="C6" s="13" t="str">
        <x:v>CUST001</x:v>
      </x:c>
      <x:c r="D6" s="13" t="n">
        <x:v>1050408</x:v>
      </x:c>
    </x:row>
    <x:row r="7">
      <x:c r="A7" s="13" t="str">
        <x:v>ORD-2025-00021</x:v>
      </x:c>
      <x:c r="B7" s="13" t="str">
        <x:v>PRD-JAR-330</x:v>
      </x:c>
      <x:c r="C7" s="13" t="str">
        <x:v>CUST001</x:v>
      </x:c>
      <x:c r="D7" s="13" t="n">
        <x:v>2448972</x:v>
      </x:c>
    </x:row>
    <x:row r="8">
      <x:c r="A8" s="13" t="str">
        <x:v>ORD-2025-00055</x:v>
      </x:c>
      <x:c r="B8" s="13" t="str">
        <x:v>PRD-BOT-500</x:v>
      </x:c>
      <x:c r="C8" s="13" t="str">
        <x:v>CUST002</x:v>
      </x:c>
      <x:c r="D8" s="13" t="n">
        <x:v>2732760</x:v>
      </x:c>
    </x:row>
    <x:row r="9">
      <x:c r="A9" s="13" t="str">
        <x:v>ORD-2025-00056</x:v>
      </x:c>
      <x:c r="B9" s="13" t="str">
        <x:v>PRD-JAR-720</x:v>
      </x:c>
      <x:c r="C9" s="13" t="str">
        <x:v>CUST001</x:v>
      </x:c>
      <x:c r="D9" s="13" t="n">
        <x:v>462168</x:v>
      </x:c>
    </x:row>
    <x:row r="10">
      <x:c r="A10" s="13" t="str">
        <x:v>ORD-2025-00057</x:v>
      </x:c>
      <x:c r="B10" s="13" t="str">
        <x:v>PRD-JAR-720</x:v>
      </x:c>
      <x:c r="C10" s="13" t="str">
        <x:v>CUST001</x:v>
      </x:c>
      <x:c r="D10" s="13" t="n">
        <x:v>1111476</x:v>
      </x:c>
    </x:row>
    <x:row r="11">
      <x:c r="A11" s="13" t="str">
        <x:v>ORD-2025-00058</x:v>
      </x:c>
      <x:c r="B11" s="13" t="str">
        <x:v>PRD-BOT-500</x:v>
      </x:c>
      <x:c r="C11" s="13" t="str">
        <x:v>CUST002</x:v>
      </x:c>
      <x:c r="D11" s="13" t="n">
        <x:v>2712264</x:v>
      </x:c>
    </x:row>
    <x:row r="12">
      <x:c r="A12" s="13" t="str">
        <x:v>ORD-2025-00092</x:v>
      </x:c>
      <x:c r="B12" s="13" t="str">
        <x:v>PRD-JAR-330</x:v>
      </x:c>
      <x:c r="C12" s="13" t="str">
        <x:v>CUST001</x:v>
      </x:c>
      <x:c r="D12" s="13" t="n">
        <x:v>3348843</x:v>
      </x:c>
    </x:row>
    <x:row r="13">
      <x:c r="A13" s="13" t="str">
        <x:v>ORD-2025-00093</x:v>
      </x:c>
      <x:c r="B13" s="13" t="str">
        <x:v>PRD-JAR-720</x:v>
      </x:c>
      <x:c r="C13" s="13" t="str">
        <x:v>CUST001</x:v>
      </x:c>
      <x:c r="D13" s="13" t="n">
        <x:v>1243871</x:v>
      </x:c>
    </x:row>
    <x:row r="14">
      <x:c r="A14" s="13" t="str">
        <x:v>ORD-2025-00094</x:v>
      </x:c>
      <x:c r="B14" s="13" t="str">
        <x:v>PRD-JAR-720</x:v>
      </x:c>
      <x:c r="C14" s="13" t="str">
        <x:v>CUST001</x:v>
      </x:c>
      <x:c r="D14" s="13" t="n">
        <x:v>1907410</x:v>
      </x:c>
    </x:row>
    <x:row r="15">
      <x:c r="A15" s="13" t="str">
        <x:v>ORD-2025-00124</x:v>
      </x:c>
      <x:c r="B15" s="13" t="str">
        <x:v>PRD-BOT-500</x:v>
      </x:c>
      <x:c r="C15" s="13" t="str">
        <x:v>CUST002</x:v>
      </x:c>
      <x:c r="D15" s="13" t="n">
        <x:v>4150713</x:v>
      </x:c>
    </x:row>
    <x:row r="16">
      <x:c r="A16" s="13" t="str">
        <x:v>ORD-2025-00125</x:v>
      </x:c>
      <x:c r="B16" s="13" t="str">
        <x:v>PRD-JAR-330</x:v>
      </x:c>
      <x:c r="C16" s="13" t="str">
        <x:v>CUST001</x:v>
      </x:c>
      <x:c r="D16" s="13" t="n">
        <x:v>2296749</x:v>
      </x:c>
    </x:row>
    <x:row r="17">
      <x:c r="A17" s="13" t="str">
        <x:v>ORD-2025-00126</x:v>
      </x:c>
      <x:c r="B17" s="13" t="str">
        <x:v>PRD-JAR-720</x:v>
      </x:c>
      <x:c r="C17" s="13" t="str">
        <x:v>CUST001</x:v>
      </x:c>
      <x:c r="D17" s="13" t="n">
        <x:v>953813</x:v>
      </x:c>
    </x:row>
    <x:row r="18">
      <x:c r="A18" s="13" t="str">
        <x:v>ORD-2025-00161</x:v>
      </x:c>
      <x:c r="B18" s="13" t="str">
        <x:v>PRD-JAR-720</x:v>
      </x:c>
      <x:c r="C18" s="13" t="str">
        <x:v>CUST001</x:v>
      </x:c>
      <x:c r="D18" s="13" t="n">
        <x:v>1203753</x:v>
      </x:c>
    </x:row>
    <x:row r="19">
      <x:c r="A19" s="13" t="str">
        <x:v>ORD-2025-00162</x:v>
      </x:c>
      <x:c r="B19" s="13" t="str">
        <x:v>PRD-JAR-330</x:v>
      </x:c>
      <x:c r="C19" s="13" t="str">
        <x:v>CUST001</x:v>
      </x:c>
      <x:c r="D19" s="13" t="n">
        <x:v>1467677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.6299991607666" hidden="0" customWidth="1"/>
  </x:cols>
  <x:sheetData>
    <x:row r="1">
      <x:c r="A1" s="12" t="str">
        <x:v>Master Data — Defects</x:v>
      </x:c>
    </x:row>
    <x:row r="2">
      <x:c r="A2" s="13" t="str">
        <x:v>Maps to STG_DEFECT → DIM_DEFECT</x:v>
      </x:c>
    </x:row>
    <x:row r="3">
      <x:c r="A3" s="13" t="str">
        <x:v>Maintain only approved values.</x:v>
      </x:c>
    </x:row>
    <x:row r="4">
      <x:c r="A4" s="8" t="str">
        <x:v>DefectName</x:v>
      </x:c>
    </x:row>
    <x:row r="5">
      <x:c r="A5" s="13" t="str">
        <x:v>Crack</x:v>
      </x:c>
    </x:row>
    <x:row r="6">
      <x:c r="A6" s="13" t="str">
        <x:v>Chip</x:v>
      </x:c>
    </x:row>
    <x:row r="7">
      <x:c r="A7" s="13" t="str">
        <x:v>Blister</x:v>
      </x:c>
    </x:row>
    <x:row r="8">
      <x:c r="A8" s="13" t="str">
        <x:v>Distortion</x:v>
      </x:c>
    </x:row>
    <x:row r="9">
      <x:c r="A9" s="13" t="str">
        <x:v>Stone</x:v>
      </x:c>
    </x:row>
    <x:row r="10">
      <x:c r="A10" s="13" t="str">
        <x:v>Bird Swing</x:v>
      </x:c>
    </x:row>
    <x:row r="11">
      <x:c r="A11" s="13" t="str">
        <x:v>Overpress</x:v>
      </x:c>
    </x:row>
    <x:row r="12">
      <x:c r="A12" s="13" t="str">
        <x:v>Thin Wall</x:v>
      </x:c>
    </x:row>
    <x:row r="13">
      <x:c r="A13" s="13" t="str">
        <x:v>Choke Neck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.130001068115234" hidden="0" customWidth="1"/>
  </x:cols>
  <x:sheetData>
    <x:row r="1">
      <x:c r="A1" s="12" t="str">
        <x:v>Master Data — HE Downtime Reasons</x:v>
      </x:c>
    </x:row>
    <x:row r="2">
      <x:c r="A2" s="13" t="str">
        <x:v>Reference list for JobChange HE_DowntimeReason</x:v>
      </x:c>
    </x:row>
    <x:row r="3">
      <x:c r="A3" s="13" t="str">
        <x:v>Maintain only approved values.</x:v>
      </x:c>
    </x:row>
    <x:row r="4">
      <x:c r="A4" s="8" t="str">
        <x:v>HE_DowntimeReason</x:v>
      </x:c>
    </x:row>
    <x:row r="5">
      <x:c r="A5" s="13" t="str">
        <x:v>Feeder Temperature Instability</x:v>
      </x:c>
    </x:row>
    <x:row r="6">
      <x:c r="A6" s="13" t="str">
        <x:v>Gob Weight Adjustment</x:v>
      </x:c>
    </x:row>
    <x:row r="7">
      <x:c r="A7" s="13" t="str">
        <x:v>Shear Mechanism Fault</x:v>
      </x:c>
    </x:row>
    <x:row r="8">
      <x:c r="A8" s="13" t="str">
        <x:v>Gob Distributor Jam</x:v>
      </x:c>
    </x:row>
    <x:row r="9">
      <x:c r="A9" s="13" t="str">
        <x:v>Mould Cooling Issue</x:v>
      </x:c>
    </x:row>
    <x:row r="10">
      <x:c r="A10" s="13" t="str">
        <x:v>Swabbing / Lubrication</x:v>
      </x:c>
    </x:row>
    <x:row r="11">
      <x:c r="A11" s="13" t="str">
        <x:v>Blank Mould Change</x:v>
      </x:c>
    </x:row>
    <x:row r="12">
      <x:c r="A12" s="13" t="str">
        <x:v>Neck Ring Issue</x:v>
      </x:c>
    </x:row>
    <x:row r="13">
      <x:c r="A13" s="13" t="str">
        <x:v>Air Pressure Instability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5" hidden="0" customWidth="1"/>
  </x:cols>
  <x:sheetData>
    <x:row r="1">
      <x:c r="A1" s="12" t="str">
        <x:v>Master Data — CE Loss Reasons</x:v>
      </x:c>
    </x:row>
    <x:row r="2">
      <x:c r="A2" s="13" t="str">
        <x:v>Reference list for JobChange CE_LossesReason</x:v>
      </x:c>
    </x:row>
    <x:row r="3">
      <x:c r="A3" s="13" t="str">
        <x:v>Maintain only approved values.</x:v>
      </x:c>
    </x:row>
    <x:row r="4">
      <x:c r="A4" s="8" t="str">
        <x:v>CE_LossesReason</x:v>
      </x:c>
    </x:row>
    <x:row r="5">
      <x:c r="A5" s="13" t="str">
        <x:v>Cross Conveyor Jam</x:v>
      </x:c>
    </x:row>
    <x:row r="6">
      <x:c r="A6" s="13" t="str">
        <x:v>Ware Transfer Misalignment</x:v>
      </x:c>
    </x:row>
    <x:row r="7">
      <x:c r="A7" s="13" t="str">
        <x:v>Dead Plate Congestion</x:v>
      </x:c>
    </x:row>
    <x:row r="8">
      <x:c r="A8" s="13" t="str">
        <x:v>Lehr Loader Delay</x:v>
      </x:c>
    </x:row>
    <x:row r="9">
      <x:c r="A9" s="13" t="str">
        <x:v>Conveyor Speed Mismatch</x:v>
      </x:c>
    </x:row>
    <x:row r="10">
      <x:c r="A10" s="13" t="str">
        <x:v>Bottle Fall / Tip</x:v>
      </x:c>
    </x:row>
    <x:row r="11">
      <x:c r="A11" s="13" t="str">
        <x:v>Sensor Fault</x:v>
      </x:c>
    </x:row>
    <x:row r="12">
      <x:c r="A12" s="13" t="str">
        <x:v>Drive / Motor Fault</x:v>
      </x:c>
    </x:row>
    <x:row r="13">
      <x:c r="A13" s="13" t="str">
        <x:v>Belt Tracking Issue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.130001068115234" hidden="0" customWidth="1"/>
  </x:cols>
  <x:sheetData>
    <x:row r="1">
      <x:c r="A1" s="12" t="str">
        <x:v>Master Data — Palletizer Reasons</x:v>
      </x:c>
    </x:row>
    <x:row r="2">
      <x:c r="A2" s="13" t="str">
        <x:v>Reference list for JobChange PalletizerReason</x:v>
      </x:c>
    </x:row>
    <x:row r="3">
      <x:c r="A3" s="13" t="str">
        <x:v>Maintain only approved values.</x:v>
      </x:c>
    </x:row>
    <x:row r="4">
      <x:c r="A4" s="8" t="str">
        <x:v>PalletizerReason</x:v>
      </x:c>
    </x:row>
    <x:row r="5">
      <x:c r="A5" s="13" t="str">
        <x:v>Palletizer Robot Fault</x:v>
      </x:c>
    </x:row>
    <x:row r="6">
      <x:c r="A6" s="13" t="str">
        <x:v>Layer Pattern Adjustment</x:v>
      </x:c>
    </x:row>
    <x:row r="7">
      <x:c r="A7" s="13" t="str">
        <x:v>Pallet Shortage</x:v>
      </x:c>
    </x:row>
    <x:row r="8">
      <x:c r="A8" s="13" t="str">
        <x:v>Separator Pad Shortage</x:v>
      </x:c>
    </x:row>
    <x:row r="9">
      <x:c r="A9" s="13" t="str">
        <x:v>Pallet Conveyor Jam</x:v>
      </x:c>
    </x:row>
    <x:row r="10">
      <x:c r="A10" s="13" t="str">
        <x:v>Film / Hood Fault</x:v>
      </x:c>
    </x:row>
    <x:row r="11">
      <x:c r="A11" s="13" t="str">
        <x:v>Gripper / Vacuum Fault</x:v>
      </x:c>
    </x:row>
    <x:row r="12">
      <x:c r="A12" s="13" t="str">
        <x:v>Sensor / Photoeye Fault</x:v>
      </x:c>
    </x:row>
    <x:row r="13">
      <x:c r="A13" s="13" t="str">
        <x:v>Manual Intervention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9.6299991607666" hidden="0" customWidth="1"/>
  </x:cols>
  <x:sheetData>
    <x:row r="1">
      <x:c r="A1" s="12" t="str">
        <x:v>Master Data — Rework Status</x:v>
      </x:c>
    </x:row>
    <x:row r="2">
      <x:c r="A2" s="13" t="str">
        <x:v>Maps to DIM_REWORKSTATUS</x:v>
      </x:c>
    </x:row>
    <x:row r="3">
      <x:c r="A3" s="13" t="str">
        <x:v>Maintain only approved values.</x:v>
      </x:c>
    </x:row>
    <x:row r="4">
      <x:c r="A4" s="8" t="str">
        <x:v>ReworkStatus</x:v>
      </x:c>
    </x:row>
    <x:row r="5">
      <x:c r="A5" s="13" t="str">
        <x:v>Resorted</x:v>
      </x:c>
    </x:row>
    <x:row r="6">
      <x:c r="A6" s="13" t="str">
        <x:v>Move to Cullet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1.3799991607666" hidden="0" customWidth="1"/>
  </x:cols>
  <x:sheetData>
    <x:row r="1">
      <x:c r="A1" s="12" t="str">
        <x:v>Master Data — Case Name</x:v>
      </x:c>
    </x:row>
    <x:row r="2">
      <x:c r="A2" s="13" t="str">
        <x:v>Reference list for production / losses case</x:v>
      </x:c>
    </x:row>
    <x:row r="3">
      <x:c r="A3" s="13" t="str">
        <x:v>Maintain only approved values.</x:v>
      </x:c>
    </x:row>
    <x:row r="4">
      <x:c r="A4" s="8" t="str">
        <x:v>CaseName</x:v>
      </x:c>
    </x:row>
    <x:row r="5">
      <x:c r="A5" s="13" t="str">
        <x:v>Normal</x:v>
      </x:c>
    </x:row>
    <x:row r="6">
      <x:c r="A6" s="13" t="str">
        <x:v>Trial</x:v>
      </x:c>
    </x:row>
    <x:row r="7">
      <x:c r="A7" s="13" t="str">
        <x:v>Reworking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6.5" hidden="0" customWidth="1"/>
  </x:cols>
  <x:sheetData>
    <x:row r="1">
      <x:c r="A1" s="12" t="str">
        <x:v>Master Data — Crew</x:v>
      </x:c>
    </x:row>
    <x:row r="2">
      <x:c r="A2" s="13" t="str">
        <x:v>Reference list for production crews</x:v>
      </x:c>
    </x:row>
    <x:row r="3">
      <x:c r="A3" s="13" t="str">
        <x:v>Maintain only approved values.</x:v>
      </x:c>
    </x:row>
    <x:row r="4">
      <x:c r="A4" s="8" t="str">
        <x:v>Crew</x:v>
      </x:c>
    </x:row>
    <x:row r="5">
      <x:c r="A5" s="13" t="str">
        <x:v>A</x:v>
      </x:c>
    </x:row>
    <x:row r="6">
      <x:c r="A6" s="13" t="str">
        <x:v>B</x:v>
      </x:c>
    </x:row>
    <x:row r="7">
      <x:c r="A7" s="13" t="str">
        <x:v>C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3.8799991607666" hidden="0" customWidth="1"/>
  </x:cols>
  <x:sheetData>
    <x:row r="1">
      <x:c r="A1" s="12" t="str">
        <x:v>Master Data — Shifts</x:v>
      </x:c>
    </x:row>
    <x:row r="2">
      <x:c r="A2" s="13" t="str">
        <x:v>Reference list for shifts</x:v>
      </x:c>
    </x:row>
    <x:row r="3">
      <x:c r="A3" s="13" t="str">
        <x:v>Maintain only approved values.</x:v>
      </x:c>
    </x:row>
    <x:row r="4">
      <x:c r="A4" s="8" t="str">
        <x:v>Shift</x:v>
      </x:c>
    </x:row>
    <x:row r="5">
      <x:c r="A5" s="13" t="str">
        <x:v>AM</x:v>
      </x:c>
    </x:row>
    <x:row r="6">
      <x:c r="A6" s="13" t="str">
        <x:v>PM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3.25" hidden="0" customWidth="1"/>
    <x:col min="2" max="2" width="9.880000114440918" hidden="0" customWidth="1"/>
    <x:col min="3" max="3" width="8.380000114440918" hidden="0" customWidth="1"/>
  </x:cols>
  <x:sheetData>
    <x:row r="1">
      <x:c r="A1" s="12" t="str">
        <x:v>Master Data — Production Lines</x:v>
      </x:c>
      <x:c r="B1" s="12"/>
      <x:c r="C1" s="12"/>
    </x:row>
    <x:row r="2">
      <x:c r="A2" s="13" t="str">
        <x:v>Maps to REF_LINE / DIM_LINE</x:v>
      </x:c>
      <x:c r="B2" s="13"/>
      <x:c r="C2" s="13"/>
    </x:row>
    <x:row r="3">
      <x:c r="A3" s="13" t="str">
        <x:v>FactoryCode + LineNumber must be unique.</x:v>
      </x:c>
      <x:c r="B3" s="13"/>
      <x:c r="C3" s="13"/>
    </x:row>
    <x:row r="4">
      <x:c r="A4" s="8" t="str">
        <x:v>FactoryCode</x:v>
      </x:c>
      <x:c r="B4" s="8" t="str">
        <x:v>LineNumber</x:v>
      </x:c>
      <x:c r="C4" s="8" t="str">
        <x:v>LineStatus</x:v>
      </x:c>
    </x:row>
    <x:row r="5">
      <x:c r="A5" s="13" t="str">
        <x:v>KG01</x:v>
      </x:c>
      <x:c r="B5" s="13" t="n">
        <x:v>21</x:v>
      </x:c>
      <x:c r="C5" s="13" t="str">
        <x:v>Active</x:v>
      </x:c>
    </x:row>
    <x:row r="6">
      <x:c r="A6" s="13" t="str">
        <x:v>KG01</x:v>
      </x:c>
      <x:c r="B6" s="13" t="n">
        <x:v>22</x:v>
      </x:c>
      <x:c r="C6" s="13" t="str">
        <x:v>Active</x:v>
      </x:c>
    </x:row>
    <x:row r="7">
      <x:c r="A7" s="13" t="str">
        <x:v>KG01</x:v>
      </x:c>
      <x:c r="B7" s="13" t="n">
        <x:v>23</x:v>
      </x:c>
      <x:c r="C7" s="13" t="str">
        <x:v>Active</x:v>
      </x:c>
    </x:row>
    <x:row r="8">
      <x:c r="A8" s="13" t="str">
        <x:v>KG01</x:v>
      </x:c>
      <x:c r="B8" s="13" t="n">
        <x:v>24</x:v>
      </x:c>
      <x:c r="C8" s="13" t="str">
        <x:v>Active</x:v>
      </x:c>
    </x:row>
    <x:row r="9">
      <x:c r="A9" s="13" t="str">
        <x:v>KG01</x:v>
      </x:c>
      <x:c r="B9" s="13" t="n">
        <x:v>25</x:v>
      </x:c>
      <x:c r="C9" s="13" t="str">
        <x:v>Active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0.5" hidden="0" customWidth="1"/>
    <x:col min="3" max="3" width="10.5" hidden="0" customWidth="1"/>
  </x:cols>
  <x:sheetData>
    <x:row r="1">
      <x:c r="A1" s="12" t="str">
        <x:v>Master Data — Job Change Types</x:v>
      </x:c>
      <x:c r="B1" s="12"/>
      <x:c r="C1" s="12"/>
    </x:row>
    <x:row r="2">
      <x:c r="A2" s="13" t="str">
        <x:v>Maps to STG_JOBCHANGETYPE → DIM_JOBCHANGETYPE</x:v>
      </x:c>
      <x:c r="B2" s="13"/>
      <x:c r="C2" s="13"/>
    </x:row>
    <x:row r="3">
      <x:c r="A3" s="13" t="str">
        <x:v>Official values: Small, Medium, Big, Process</x:v>
      </x:c>
      <x:c r="B3" s="13"/>
      <x:c r="C3" s="13"/>
    </x:row>
    <x:row r="4">
      <x:c r="A4" s="8" t="str">
        <x:v>JobChangeTypeName</x:v>
      </x:c>
      <x:c r="B4" s="8" t="str">
        <x:v>TargetT1_Hrs</x:v>
      </x:c>
      <x:c r="C4" s="8" t="str">
        <x:v>TargetT2_Hrs</x:v>
      </x:c>
    </x:row>
    <x:row r="5">
      <x:c r="A5" s="13" t="str">
        <x:v>Small</x:v>
      </x:c>
      <x:c r="B5" s="13" t="n">
        <x:v>1.5</x:v>
      </x:c>
      <x:c r="C5" s="13" t="n">
        <x:v>0.5</x:v>
      </x:c>
    </x:row>
    <x:row r="6">
      <x:c r="A6" s="13" t="str">
        <x:v>Medium</x:v>
      </x:c>
      <x:c r="B6" s="13" t="n">
        <x:v>3</x:v>
      </x:c>
      <x:c r="C6" s="13" t="n">
        <x:v>1</x:v>
      </x:c>
    </x:row>
    <x:row r="7">
      <x:c r="A7" s="13" t="str">
        <x:v>Big</x:v>
      </x:c>
      <x:c r="B7" s="13" t="n">
        <x:v>6</x:v>
      </x:c>
      <x:c r="C7" s="13" t="n">
        <x:v>2</x:v>
      </x:c>
    </x:row>
    <x:row r="8">
      <x:c r="A8" s="13" t="str">
        <x:v>Process</x:v>
      </x:c>
      <x:c r="B8" s="13" t="n">
        <x:v>8</x:v>
      </x:c>
      <x:c r="C8" s="13" t="n">
        <x:v>3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51.5" hidden="0" customWidth="1"/>
    <x:col min="2" max="2" width="4.5" hidden="0" customWidth="1"/>
    <x:col min="3" max="3" width="8.630000114440918" hidden="0" customWidth="1"/>
    <x:col min="4" max="4" width="11.5" hidden="0" customWidth="1"/>
    <x:col min="5" max="5" width="10" hidden="0" customWidth="1"/>
    <x:col min="6" max="6" width="23.3799991607666" hidden="0" customWidth="1"/>
    <x:col min="7" max="7" width="21.5" hidden="0" customWidth="1"/>
    <x:col min="8" max="8" width="19.5" hidden="0" customWidth="1"/>
  </x:cols>
  <x:sheetData>
    <x:row r="1">
      <x:c r="A1" s="12" t="str">
        <x:v>Lookup Lists (power dropdowns in other workbooks)</x:v>
      </x:c>
      <x:c r="B1" s="12"/>
      <x:c r="C1" s="12"/>
      <x:c r="D1" s="12"/>
      <x:c r="E1" s="12"/>
      <x:c r="F1" s="12"/>
      <x:c r="G1" s="12"/>
      <x:c r="H1" s="12"/>
    </x:row>
    <x:row r="2">
      <x:c r="A2" s="13" t="str">
        <x:v>Do not delete rows that are in use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Shift</x:v>
      </x:c>
      <x:c r="B4" s="8" t="str">
        <x:v>Crew</x:v>
      </x:c>
      <x:c r="C4" s="8" t="str">
        <x:v>CaseName</x:v>
      </x:c>
      <x:c r="D4" s="8" t="str">
        <x:v>ReworkStatus</x:v>
      </x:c>
      <x:c r="E4" s="8" t="str">
        <x:v>DefectName</x:v>
      </x:c>
      <x:c r="F4" s="8" t="str">
        <x:v>HE_DowntimeReason</x:v>
      </x:c>
      <x:c r="G4" s="8" t="str">
        <x:v>CE_LossesReason</x:v>
      </x:c>
      <x:c r="H4" s="8" t="str">
        <x:v>PalletizerReason</x:v>
      </x:c>
    </x:row>
    <x:row r="5">
      <x:c r="A5" s="13" t="str">
        <x:v>AM</x:v>
      </x:c>
      <x:c r="B5" s="13" t="str">
        <x:v>A</x:v>
      </x:c>
      <x:c r="C5" s="13" t="str">
        <x:v>Normal</x:v>
      </x:c>
      <x:c r="D5" s="13" t="str">
        <x:v>Resorted</x:v>
      </x:c>
      <x:c r="E5" s="13" t="str">
        <x:v>Crack</x:v>
      </x:c>
      <x:c r="F5" s="13" t="str">
        <x:v>Feeder Temperature Instability</x:v>
      </x:c>
      <x:c r="G5" s="13" t="str">
        <x:v>Cross Conveyor Jam</x:v>
      </x:c>
      <x:c r="H5" s="13" t="str">
        <x:v>Palletizer Robot Fault</x:v>
      </x:c>
    </x:row>
    <x:row r="6">
      <x:c r="A6" s="13" t="str">
        <x:v>PM</x:v>
      </x:c>
      <x:c r="B6" s="13" t="str">
        <x:v>B</x:v>
      </x:c>
      <x:c r="C6" s="13" t="str">
        <x:v>Trial</x:v>
      </x:c>
      <x:c r="D6" s="13" t="str">
        <x:v>Move to Cullet</x:v>
      </x:c>
      <x:c r="E6" s="13" t="str">
        <x:v>Chip</x:v>
      </x:c>
      <x:c r="F6" s="13" t="str">
        <x:v>Gob Weight Adjustment</x:v>
      </x:c>
      <x:c r="G6" s="13" t="str">
        <x:v>Ware Transfer Misalignment</x:v>
      </x:c>
      <x:c r="H6" s="13" t="str">
        <x:v>Layer Pattern Adjustment</x:v>
      </x:c>
    </x:row>
    <x:row r="7">
      <x:c r="A7" s="13"/>
      <x:c r="B7" s="13" t="str">
        <x:v>C</x:v>
      </x:c>
      <x:c r="C7" s="13" t="str">
        <x:v>Reworking</x:v>
      </x:c>
      <x:c r="D7" s="13"/>
      <x:c r="E7" s="13" t="str">
        <x:v>Blister</x:v>
      </x:c>
      <x:c r="F7" s="13" t="str">
        <x:v>Shear Mechanism Fault</x:v>
      </x:c>
      <x:c r="G7" s="13" t="str">
        <x:v>Dead Plate Congestion</x:v>
      </x:c>
      <x:c r="H7" s="13" t="str">
        <x:v>Pallet Shortage</x:v>
      </x:c>
    </x:row>
    <x:row r="8">
      <x:c r="A8" s="13"/>
      <x:c r="B8" s="13"/>
      <x:c r="C8" s="13"/>
      <x:c r="D8" s="13"/>
      <x:c r="E8" s="13" t="str">
        <x:v>Distortion</x:v>
      </x:c>
      <x:c r="F8" s="13" t="str">
        <x:v>Gob Distributor Jam</x:v>
      </x:c>
      <x:c r="G8" s="13" t="str">
        <x:v>Lehr Loader Delay</x:v>
      </x:c>
      <x:c r="H8" s="13" t="str">
        <x:v>Separator Pad Shortage</x:v>
      </x:c>
    </x:row>
    <x:row r="9">
      <x:c r="A9" s="13"/>
      <x:c r="B9" s="13"/>
      <x:c r="C9" s="13"/>
      <x:c r="D9" s="13"/>
      <x:c r="E9" s="13" t="str">
        <x:v>Stone</x:v>
      </x:c>
      <x:c r="F9" s="13" t="str">
        <x:v>Mould Cooling Issue</x:v>
      </x:c>
      <x:c r="G9" s="13" t="str">
        <x:v>Conveyor Speed Mismatch</x:v>
      </x:c>
      <x:c r="H9" s="13" t="str">
        <x:v>Pallet Conveyor Jam</x:v>
      </x:c>
    </x:row>
    <x:row r="10">
      <x:c r="A10" s="13"/>
      <x:c r="B10" s="13"/>
      <x:c r="C10" s="13"/>
      <x:c r="D10" s="13"/>
      <x:c r="E10" s="13" t="str">
        <x:v>Bird Swing</x:v>
      </x:c>
      <x:c r="F10" s="13" t="str">
        <x:v>Swabbing / Lubrication</x:v>
      </x:c>
      <x:c r="G10" s="13" t="str">
        <x:v>Bottle Fall / Tip</x:v>
      </x:c>
      <x:c r="H10" s="13" t="str">
        <x:v>Film / Hood Fault</x:v>
      </x:c>
    </x:row>
    <x:row r="11">
      <x:c r="A11" s="13"/>
      <x:c r="B11" s="13"/>
      <x:c r="C11" s="13"/>
      <x:c r="D11" s="13"/>
      <x:c r="E11" s="13" t="str">
        <x:v>Overpress</x:v>
      </x:c>
      <x:c r="F11" s="13" t="str">
        <x:v>Blank Mould Change</x:v>
      </x:c>
      <x:c r="G11" s="13" t="str">
        <x:v>Sensor Fault</x:v>
      </x:c>
      <x:c r="H11" s="13" t="str">
        <x:v>Gripper / Vacuum Fault</x:v>
      </x:c>
    </x:row>
    <x:row r="12">
      <x:c r="A12" s="13"/>
      <x:c r="B12" s="13"/>
      <x:c r="C12" s="13"/>
      <x:c r="D12" s="13"/>
      <x:c r="E12" s="13" t="str">
        <x:v>Thin Wall</x:v>
      </x:c>
      <x:c r="F12" s="13" t="str">
        <x:v>Neck Ring Issue</x:v>
      </x:c>
      <x:c r="G12" s="13" t="str">
        <x:v>Drive / Motor Fault</x:v>
      </x:c>
      <x:c r="H12" s="13" t="str">
        <x:v>Sensor / Photoeye Fault</x:v>
      </x:c>
    </x:row>
    <x:row r="13">
      <x:c r="A13" s="13"/>
      <x:c r="B13" s="13"/>
      <x:c r="C13" s="13"/>
      <x:c r="D13" s="13"/>
      <x:c r="E13" s="13" t="str">
        <x:v>Choke Neck</x:v>
      </x:c>
      <x:c r="F13" s="13" t="str">
        <x:v>Air Pressure Instability</x:v>
      </x:c>
      <x:c r="G13" s="13" t="str">
        <x:v>Belt Tracking Issue</x:v>
      </x:c>
      <x:c r="H13" s="13" t="str">
        <x:v>Manual Intervention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82.62999725341797" hidden="0" customWidth="1"/>
    <x:col min="2" max="2" width="9.880000114440918" hidden="0" customWidth="1"/>
    <x:col min="3" max="3" width="13" hidden="0" customWidth="1"/>
    <x:col min="4" max="4" width="17.8799991607666" hidden="0" customWidth="1"/>
    <x:col min="5" max="5" width="12.25" hidden="0" customWidth="1"/>
    <x:col min="6" max="6" width="8.380000114440918" hidden="0" customWidth="1"/>
    <x:col min="7" max="7" width="12.630000114440918" hidden="0" customWidth="1"/>
  </x:cols>
  <x:sheetData>
    <x:row r="1">
      <x:c r="A1" s="12" t="str">
        <x:v>Master Data — Physical Machine Capability</x:v>
      </x:c>
      <x:c r="B1" s="12"/>
      <x:c r="C1" s="12"/>
      <x:c r="D1" s="12"/>
      <x:c r="E1" s="12"/>
      <x:c r="F1" s="12"/>
      <x:c r="G1" s="12"/>
    </x:row>
    <x:row r="2">
      <x:c r="A2" s="13" t="str">
        <x:v>All production lines 21–25 have 13 physical sections and a maximum of 3 cavity positions per section.</x:v>
      </x:c>
      <x:c r="B2" s="13"/>
      <x:c r="C2" s="13"/>
      <x:c r="D2" s="13"/>
      <x:c r="E2" s="13"/>
      <x:c r="F2" s="13"/>
      <x:c r="G2" s="13"/>
    </x:row>
    <x:row r="3">
      <x:c r="A3" s="13" t="str">
        <x:v>These are physical limits. The active product/run configuration is stored separately in ProductionConfiguration.</x:v>
      </x:c>
      <x:c r="B3" s="13"/>
      <x:c r="C3" s="13"/>
      <x:c r="D3" s="13"/>
      <x:c r="E3" s="13"/>
      <x:c r="F3" s="13"/>
      <x:c r="G3" s="13"/>
    </x:row>
    <x:row r="4">
      <x:c r="A4" s="8" t="str">
        <x:v>FactoryCode</x:v>
      </x:c>
      <x:c r="B4" s="8" t="str">
        <x:v>LineNumber</x:v>
      </x:c>
      <x:c r="C4" s="8" t="str">
        <x:v>PhysicalSections</x:v>
      </x:c>
      <x:c r="D4" s="8" t="str">
        <x:v>MaxCavitiesPerSection</x:v>
      </x:c>
      <x:c r="E4" s="8" t="str">
        <x:v>MaxCavitySlots</x:v>
      </x:c>
      <x:c r="F4" s="8" t="str">
        <x:v>LineStatus</x:v>
      </x:c>
      <x:c r="G4" s="8" t="str">
        <x:v>CapabilityCheck</x:v>
      </x:c>
    </x:row>
    <x:row r="5">
      <x:c r="A5" s="13" t="str">
        <x:v>KG01</x:v>
      </x:c>
      <x:c r="B5" s="13" t="n">
        <x:v>21</x:v>
      </x:c>
      <x:c r="C5" s="13" t="n">
        <x:v>13</x:v>
      </x:c>
      <x:c r="D5" s="13" t="n">
        <x:v>3</x:v>
      </x:c>
      <x:c r="E5" s="18" t="n">
        <x:f>C5*D5</x:f>
        <x:v>39</x:v>
      </x:c>
      <x:c r="F5" s="13" t="str">
        <x:v>Active</x:v>
      </x:c>
      <x:c r="G5" s="18" t="str">
        <x:f>IF(AND(C5=13,D5=3,E5=39),"OK","CHECK")</x:f>
        <x:v>OK</x:v>
      </x:c>
    </x:row>
    <x:row r="6">
      <x:c r="A6" s="13" t="str">
        <x:v>KG01</x:v>
      </x:c>
      <x:c r="B6" s="13" t="n">
        <x:v>22</x:v>
      </x:c>
      <x:c r="C6" s="13" t="n">
        <x:v>13</x:v>
      </x:c>
      <x:c r="D6" s="13" t="n">
        <x:v>3</x:v>
      </x:c>
      <x:c r="E6" s="18" t="n">
        <x:f>C6*D6</x:f>
        <x:v>39</x:v>
      </x:c>
      <x:c r="F6" s="13" t="str">
        <x:v>Active</x:v>
      </x:c>
      <x:c r="G6" s="18" t="str">
        <x:f>IF(AND(C6=13,D6=3,E6=39),"OK","CHECK")</x:f>
        <x:v>OK</x:v>
      </x:c>
    </x:row>
    <x:row r="7">
      <x:c r="A7" s="13" t="str">
        <x:v>KG01</x:v>
      </x:c>
      <x:c r="B7" s="13" t="n">
        <x:v>23</x:v>
      </x:c>
      <x:c r="C7" s="13" t="n">
        <x:v>13</x:v>
      </x:c>
      <x:c r="D7" s="13" t="n">
        <x:v>3</x:v>
      </x:c>
      <x:c r="E7" s="18" t="n">
        <x:f>C7*D7</x:f>
        <x:v>39</x:v>
      </x:c>
      <x:c r="F7" s="13" t="str">
        <x:v>Active</x:v>
      </x:c>
      <x:c r="G7" s="18" t="str">
        <x:f>IF(AND(C7=13,D7=3,E7=39),"OK","CHECK")</x:f>
        <x:v>OK</x:v>
      </x:c>
    </x:row>
    <x:row r="8">
      <x:c r="A8" s="13" t="str">
        <x:v>KG01</x:v>
      </x:c>
      <x:c r="B8" s="13" t="n">
        <x:v>24</x:v>
      </x:c>
      <x:c r="C8" s="13" t="n">
        <x:v>13</x:v>
      </x:c>
      <x:c r="D8" s="13" t="n">
        <x:v>3</x:v>
      </x:c>
      <x:c r="E8" s="18" t="n">
        <x:f>C8*D8</x:f>
        <x:v>39</x:v>
      </x:c>
      <x:c r="F8" s="13" t="str">
        <x:v>Active</x:v>
      </x:c>
      <x:c r="G8" s="18" t="str">
        <x:f>IF(AND(C8=13,D8=3,E8=39),"OK","CHECK")</x:f>
        <x:v>OK</x:v>
      </x:c>
    </x:row>
    <x:row r="9">
      <x:c r="A9" s="13" t="str">
        <x:v>KG01</x:v>
      </x:c>
      <x:c r="B9" s="13" t="n">
        <x:v>25</x:v>
      </x:c>
      <x:c r="C9" s="13" t="n">
        <x:v>13</x:v>
      </x:c>
      <x:c r="D9" s="13" t="n">
        <x:v>3</x:v>
      </x:c>
      <x:c r="E9" s="18" t="n">
        <x:f>C9*D9</x:f>
        <x:v>39</x:v>
      </x:c>
      <x:c r="F9" s="13" t="str">
        <x:v>Active</x:v>
      </x:c>
      <x:c r="G9" s="18" t="str">
        <x:f>IF(AND(C9=13,D9=3,E9=39),"OK","CHECK")</x:f>
        <x:v>OK</x:v>
      </x:c>
    </x:row>
  </x:sheetData>
  <x:conditionalFormatting sqref="G5:G9">
    <x:cfRule type="expression" dxfId="0" priority="1">
      <x:formula>G5="OK"</x:formula>
    </x:cfRule>
  </x:conditionalFormatting>
  <x:dataValidations count="3">
    <x:dataValidation sqref="C5:C100">
      <x:formula1>13</x:formula1>
    </x:dataValidation>
    <x:dataValidation sqref="D5:D100">
      <x:formula1>3</x:formula1>
    </x:dataValidation>
    <x:dataValidation type="list" sqref="F5:F100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f3709c5f3547aa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88.75" hidden="0" customWidth="1"/>
    <x:col min="2" max="2" width="8.630000114440918" hidden="0" customWidth="1"/>
    <x:col min="3" max="3" width="15.880000114440918" hidden="0" customWidth="1"/>
    <x:col min="4" max="4" width="10" hidden="0" customWidth="1"/>
    <x:col min="5" max="5" width="9.880000114440918" hidden="0" customWidth="1"/>
    <x:col min="6" max="6" width="12.380000114440918" hidden="0" customWidth="1"/>
    <x:col min="7" max="7" width="11.5" hidden="0" customWidth="1"/>
    <x:col min="8" max="8" width="22.6299991607666" hidden="0" customWidth="1"/>
    <x:col min="9" max="9" width="16.1299991607666" hidden="0" customWidth="1"/>
    <x:col min="10" max="10" width="12.380000114440918" hidden="0" customWidth="1"/>
  </x:cols>
  <x:sheetData>
    <x:row r="1">
      <x:c r="A1" s="12" t="str">
        <x:v>Master Data — Line / Section / Cavity Asset Hierarchy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>
      <x:c r="A2" s="13" t="str">
        <x:v>One row per physical line, section, or cavity position. Physical availability does not mean the position is active for a run.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13" t="str">
        <x:v>AssetScopeID is the stable business key used by JobChangeImpact.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4">
      <x:c r="A4" s="8" t="str">
        <x:v>AssetScopeID</x:v>
      </x:c>
      <x:c r="B4" s="8" t="str">
        <x:v>AssetLevel</x:v>
      </x:c>
      <x:c r="C4" s="8" t="str">
        <x:v>ParentAssetScopeID</x:v>
      </x:c>
      <x:c r="D4" s="8" t="str">
        <x:v>FactoryCode</x:v>
      </x:c>
      <x:c r="E4" s="8" t="str">
        <x:v>LineNumber</x:v>
      </x:c>
      <x:c r="F4" s="8" t="str">
        <x:v>SectionNumber</x:v>
      </x:c>
      <x:c r="G4" s="8" t="str">
        <x:v>CavityNumber</x:v>
      </x:c>
      <x:c r="H4" s="8" t="str">
        <x:v>AssetLabel</x:v>
      </x:c>
      <x:c r="I4" s="8" t="str">
        <x:v>IsPhysicallyAvailable</x:v>
      </x:c>
      <x:c r="J4" s="8" t="str">
        <x:v>HierarchyCheck</x:v>
      </x:c>
    </x:row>
    <x:row r="5">
      <x:c r="A5" s="13" t="str">
        <x:v>L21</x:v>
      </x:c>
      <x:c r="B5" s="13" t="str">
        <x:v>Line</x:v>
      </x:c>
      <x:c r="C5" s="13"/>
      <x:c r="D5" s="13" t="str">
        <x:v>KG01</x:v>
      </x:c>
      <x:c r="E5" s="13" t="n">
        <x:v>21</x:v>
      </x:c>
      <x:c r="F5" s="13"/>
      <x:c r="G5" s="13"/>
      <x:c r="H5" s="13" t="str">
        <x:v>Line 21</x:v>
      </x:c>
      <x:c r="I5" s="13" t="n">
        <x:v>1</x:v>
      </x:c>
      <x:c r="J5" s="18" t="str">
        <x:f>IF(B5="Line",IF(AND(C5="",F5="",G5=""),"OK","CHECK"),IF(B5="Section",IF(AND(C5="L"&amp;E5,F5&gt;=1,F5&lt;=13,G5=""),"OK","CHECK"),IF(B5="Cavity",IF(AND(C5="L"&amp;E5&amp;"-S"&amp;TEXT(F5,"00"),F5&gt;=1,F5&lt;=13,G5&gt;=1,G5&lt;=3),"OK","CHECK"),"CHECK")))</x:f>
        <x:v>OK</x:v>
      </x:c>
    </x:row>
    <x:row r="6">
      <x:c r="A6" s="13" t="str">
        <x:v>L21-S01</x:v>
      </x:c>
      <x:c r="B6" s="13" t="str">
        <x:v>Section</x:v>
      </x:c>
      <x:c r="C6" s="13" t="str">
        <x:v>L21</x:v>
      </x:c>
      <x:c r="D6" s="13" t="str">
        <x:v>KG01</x:v>
      </x:c>
      <x:c r="E6" s="13" t="n">
        <x:v>21</x:v>
      </x:c>
      <x:c r="F6" s="13" t="n">
        <x:v>1</x:v>
      </x:c>
      <x:c r="G6" s="13"/>
      <x:c r="H6" s="13" t="str">
        <x:v>Line 21 / Section 01</x:v>
      </x:c>
      <x:c r="I6" s="13" t="n">
        <x:v>1</x:v>
      </x:c>
      <x:c r="J6" s="18" t="str">
        <x:f>IF(B6="Line",IF(AND(C6="",F6="",G6=""),"OK","CHECK"),IF(B6="Section",IF(AND(C6="L"&amp;E6,F6&gt;=1,F6&lt;=13,G6=""),"OK","CHECK"),IF(B6="Cavity",IF(AND(C6="L"&amp;E6&amp;"-S"&amp;TEXT(F6,"00"),F6&gt;=1,F6&lt;=13,G6&gt;=1,G6&lt;=3),"OK","CHECK"),"CHECK")))</x:f>
        <x:v>OK</x:v>
      </x:c>
    </x:row>
    <x:row r="7">
      <x:c r="A7" s="13" t="str">
        <x:v>L21-S01-C1</x:v>
      </x:c>
      <x:c r="B7" s="13" t="str">
        <x:v>Cavity</x:v>
      </x:c>
      <x:c r="C7" s="13" t="str">
        <x:v>L21-S01</x:v>
      </x:c>
      <x:c r="D7" s="13" t="str">
        <x:v>KG01</x:v>
      </x:c>
      <x:c r="E7" s="13" t="n">
        <x:v>21</x:v>
      </x:c>
      <x:c r="F7" s="13" t="n">
        <x:v>1</x:v>
      </x:c>
      <x:c r="G7" s="13" t="n">
        <x:v>1</x:v>
      </x:c>
      <x:c r="H7" s="13" t="str">
        <x:v>Line 21 / Section 01 / Cavity 1</x:v>
      </x:c>
      <x:c r="I7" s="13" t="n">
        <x:v>1</x:v>
      </x:c>
      <x:c r="J7" s="18" t="str">
        <x:f>IF(B7="Line",IF(AND(C7="",F7="",G7=""),"OK","CHECK"),IF(B7="Section",IF(AND(C7="L"&amp;E7,F7&gt;=1,F7&lt;=13,G7=""),"OK","CHECK"),IF(B7="Cavity",IF(AND(C7="L"&amp;E7&amp;"-S"&amp;TEXT(F7,"00"),F7&gt;=1,F7&lt;=13,G7&gt;=1,G7&lt;=3),"OK","CHECK"),"CHECK")))</x:f>
        <x:v>OK</x:v>
      </x:c>
    </x:row>
    <x:row r="8">
      <x:c r="A8" s="13" t="str">
        <x:v>L21-S01-C2</x:v>
      </x:c>
      <x:c r="B8" s="13" t="str">
        <x:v>Cavity</x:v>
      </x:c>
      <x:c r="C8" s="13" t="str">
        <x:v>L21-S01</x:v>
      </x:c>
      <x:c r="D8" s="13" t="str">
        <x:v>KG01</x:v>
      </x:c>
      <x:c r="E8" s="13" t="n">
        <x:v>21</x:v>
      </x:c>
      <x:c r="F8" s="13" t="n">
        <x:v>1</x:v>
      </x:c>
      <x:c r="G8" s="13" t="n">
        <x:v>2</x:v>
      </x:c>
      <x:c r="H8" s="13" t="str">
        <x:v>Line 21 / Section 01 / Cavity 2</x:v>
      </x:c>
      <x:c r="I8" s="13" t="n">
        <x:v>1</x:v>
      </x:c>
      <x:c r="J8" s="18" t="str">
        <x:f>IF(B8="Line",IF(AND(C8="",F8="",G8=""),"OK","CHECK"),IF(B8="Section",IF(AND(C8="L"&amp;E8,F8&gt;=1,F8&lt;=13,G8=""),"OK","CHECK"),IF(B8="Cavity",IF(AND(C8="L"&amp;E8&amp;"-S"&amp;TEXT(F8,"00"),F8&gt;=1,F8&lt;=13,G8&gt;=1,G8&lt;=3),"OK","CHECK"),"CHECK")))</x:f>
        <x:v>OK</x:v>
      </x:c>
    </x:row>
    <x:row r="9">
      <x:c r="A9" s="13" t="str">
        <x:v>L21-S01-C3</x:v>
      </x:c>
      <x:c r="B9" s="13" t="str">
        <x:v>Cavity</x:v>
      </x:c>
      <x:c r="C9" s="13" t="str">
        <x:v>L21-S01</x:v>
      </x:c>
      <x:c r="D9" s="13" t="str">
        <x:v>KG01</x:v>
      </x:c>
      <x:c r="E9" s="13" t="n">
        <x:v>21</x:v>
      </x:c>
      <x:c r="F9" s="13" t="n">
        <x:v>1</x:v>
      </x:c>
      <x:c r="G9" s="13" t="n">
        <x:v>3</x:v>
      </x:c>
      <x:c r="H9" s="13" t="str">
        <x:v>Line 21 / Section 01 / Cavity 3</x:v>
      </x:c>
      <x:c r="I9" s="13" t="n">
        <x:v>1</x:v>
      </x:c>
      <x:c r="J9" s="18" t="str">
        <x:f>IF(B9="Line",IF(AND(C9="",F9="",G9=""),"OK","CHECK"),IF(B9="Section",IF(AND(C9="L"&amp;E9,F9&gt;=1,F9&lt;=13,G9=""),"OK","CHECK"),IF(B9="Cavity",IF(AND(C9="L"&amp;E9&amp;"-S"&amp;TEXT(F9,"00"),F9&gt;=1,F9&lt;=13,G9&gt;=1,G9&lt;=3),"OK","CHECK"),"CHECK")))</x:f>
        <x:v>OK</x:v>
      </x:c>
    </x:row>
    <x:row r="10">
      <x:c r="A10" s="13" t="str">
        <x:v>L21-S02</x:v>
      </x:c>
      <x:c r="B10" s="13" t="str">
        <x:v>Section</x:v>
      </x:c>
      <x:c r="C10" s="13" t="str">
        <x:v>L21</x:v>
      </x:c>
      <x:c r="D10" s="13" t="str">
        <x:v>KG01</x:v>
      </x:c>
      <x:c r="E10" s="13" t="n">
        <x:v>21</x:v>
      </x:c>
      <x:c r="F10" s="13" t="n">
        <x:v>2</x:v>
      </x:c>
      <x:c r="G10" s="13"/>
      <x:c r="H10" s="13" t="str">
        <x:v>Line 21 / Section 02</x:v>
      </x:c>
      <x:c r="I10" s="13" t="n">
        <x:v>1</x:v>
      </x:c>
      <x:c r="J10" s="18" t="str">
        <x:f>IF(B10="Line",IF(AND(C10="",F10="",G10=""),"OK","CHECK"),IF(B10="Section",IF(AND(C10="L"&amp;E10,F10&gt;=1,F10&lt;=13,G10=""),"OK","CHECK"),IF(B10="Cavity",IF(AND(C10="L"&amp;E10&amp;"-S"&amp;TEXT(F10,"00"),F10&gt;=1,F10&lt;=13,G10&gt;=1,G10&lt;=3),"OK","CHECK"),"CHECK")))</x:f>
        <x:v>OK</x:v>
      </x:c>
    </x:row>
    <x:row r="11">
      <x:c r="A11" s="13" t="str">
        <x:v>L21-S02-C1</x:v>
      </x:c>
      <x:c r="B11" s="13" t="str">
        <x:v>Cavity</x:v>
      </x:c>
      <x:c r="C11" s="13" t="str">
        <x:v>L21-S02</x:v>
      </x:c>
      <x:c r="D11" s="13" t="str">
        <x:v>KG01</x:v>
      </x:c>
      <x:c r="E11" s="13" t="n">
        <x:v>21</x:v>
      </x:c>
      <x:c r="F11" s="13" t="n">
        <x:v>2</x:v>
      </x:c>
      <x:c r="G11" s="13" t="n">
        <x:v>1</x:v>
      </x:c>
      <x:c r="H11" s="13" t="str">
        <x:v>Line 21 / Section 02 / Cavity 1</x:v>
      </x:c>
      <x:c r="I11" s="13" t="n">
        <x:v>1</x:v>
      </x:c>
      <x:c r="J11" s="18" t="str">
        <x:f>IF(B11="Line",IF(AND(C11="",F11="",G11=""),"OK","CHECK"),IF(B11="Section",IF(AND(C11="L"&amp;E11,F11&gt;=1,F11&lt;=13,G11=""),"OK","CHECK"),IF(B11="Cavity",IF(AND(C11="L"&amp;E11&amp;"-S"&amp;TEXT(F11,"00"),F11&gt;=1,F11&lt;=13,G11&gt;=1,G11&lt;=3),"OK","CHECK"),"CHECK")))</x:f>
        <x:v>OK</x:v>
      </x:c>
    </x:row>
    <x:row r="12">
      <x:c r="A12" s="13" t="str">
        <x:v>L21-S02-C2</x:v>
      </x:c>
      <x:c r="B12" s="13" t="str">
        <x:v>Cavity</x:v>
      </x:c>
      <x:c r="C12" s="13" t="str">
        <x:v>L21-S02</x:v>
      </x:c>
      <x:c r="D12" s="13" t="str">
        <x:v>KG01</x:v>
      </x:c>
      <x:c r="E12" s="13" t="n">
        <x:v>21</x:v>
      </x:c>
      <x:c r="F12" s="13" t="n">
        <x:v>2</x:v>
      </x:c>
      <x:c r="G12" s="13" t="n">
        <x:v>2</x:v>
      </x:c>
      <x:c r="H12" s="13" t="str">
        <x:v>Line 21 / Section 02 / Cavity 2</x:v>
      </x:c>
      <x:c r="I12" s="13" t="n">
        <x:v>1</x:v>
      </x:c>
      <x:c r="J12" s="18" t="str">
        <x:f>IF(B12="Line",IF(AND(C12="",F12="",G12=""),"OK","CHECK"),IF(B12="Section",IF(AND(C12="L"&amp;E12,F12&gt;=1,F12&lt;=13,G12=""),"OK","CHECK"),IF(B12="Cavity",IF(AND(C12="L"&amp;E12&amp;"-S"&amp;TEXT(F12,"00"),F12&gt;=1,F12&lt;=13,G12&gt;=1,G12&lt;=3),"OK","CHECK"),"CHECK")))</x:f>
        <x:v>OK</x:v>
      </x:c>
    </x:row>
    <x:row r="13">
      <x:c r="A13" s="13" t="str">
        <x:v>L21-S02-C3</x:v>
      </x:c>
      <x:c r="B13" s="13" t="str">
        <x:v>Cavity</x:v>
      </x:c>
      <x:c r="C13" s="13" t="str">
        <x:v>L21-S02</x:v>
      </x:c>
      <x:c r="D13" s="13" t="str">
        <x:v>KG01</x:v>
      </x:c>
      <x:c r="E13" s="13" t="n">
        <x:v>21</x:v>
      </x:c>
      <x:c r="F13" s="13" t="n">
        <x:v>2</x:v>
      </x:c>
      <x:c r="G13" s="13" t="n">
        <x:v>3</x:v>
      </x:c>
      <x:c r="H13" s="13" t="str">
        <x:v>Line 21 / Section 02 / Cavity 3</x:v>
      </x:c>
      <x:c r="I13" s="13" t="n">
        <x:v>1</x:v>
      </x:c>
      <x:c r="J13" s="18" t="str">
        <x:f>IF(B13="Line",IF(AND(C13="",F13="",G13=""),"OK","CHECK"),IF(B13="Section",IF(AND(C13="L"&amp;E13,F13&gt;=1,F13&lt;=13,G13=""),"OK","CHECK"),IF(B13="Cavity",IF(AND(C13="L"&amp;E13&amp;"-S"&amp;TEXT(F13,"00"),F13&gt;=1,F13&lt;=13,G13&gt;=1,G13&lt;=3),"OK","CHECK"),"CHECK")))</x:f>
        <x:v>OK</x:v>
      </x:c>
    </x:row>
    <x:row r="14">
      <x:c r="A14" s="13" t="str">
        <x:v>L21-S03</x:v>
      </x:c>
      <x:c r="B14" s="13" t="str">
        <x:v>Section</x:v>
      </x:c>
      <x:c r="C14" s="13" t="str">
        <x:v>L21</x:v>
      </x:c>
      <x:c r="D14" s="13" t="str">
        <x:v>KG01</x:v>
      </x:c>
      <x:c r="E14" s="13" t="n">
        <x:v>21</x:v>
      </x:c>
      <x:c r="F14" s="13" t="n">
        <x:v>3</x:v>
      </x:c>
      <x:c r="G14" s="13"/>
      <x:c r="H14" s="13" t="str">
        <x:v>Line 21 / Section 03</x:v>
      </x:c>
      <x:c r="I14" s="13" t="n">
        <x:v>1</x:v>
      </x:c>
      <x:c r="J14" s="18" t="str">
        <x:f>IF(B14="Line",IF(AND(C14="",F14="",G14=""),"OK","CHECK"),IF(B14="Section",IF(AND(C14="L"&amp;E14,F14&gt;=1,F14&lt;=13,G14=""),"OK","CHECK"),IF(B14="Cavity",IF(AND(C14="L"&amp;E14&amp;"-S"&amp;TEXT(F14,"00"),F14&gt;=1,F14&lt;=13,G14&gt;=1,G14&lt;=3),"OK","CHECK"),"CHECK")))</x:f>
        <x:v>OK</x:v>
      </x:c>
    </x:row>
    <x:row r="15">
      <x:c r="A15" s="13" t="str">
        <x:v>L21-S03-C1</x:v>
      </x:c>
      <x:c r="B15" s="13" t="str">
        <x:v>Cavity</x:v>
      </x:c>
      <x:c r="C15" s="13" t="str">
        <x:v>L21-S03</x:v>
      </x:c>
      <x:c r="D15" s="13" t="str">
        <x:v>KG01</x:v>
      </x:c>
      <x:c r="E15" s="13" t="n">
        <x:v>21</x:v>
      </x:c>
      <x:c r="F15" s="13" t="n">
        <x:v>3</x:v>
      </x:c>
      <x:c r="G15" s="13" t="n">
        <x:v>1</x:v>
      </x:c>
      <x:c r="H15" s="13" t="str">
        <x:v>Line 21 / Section 03 / Cavity 1</x:v>
      </x:c>
      <x:c r="I15" s="13" t="n">
        <x:v>1</x:v>
      </x:c>
      <x:c r="J15" s="18" t="str">
        <x:f>IF(B15="Line",IF(AND(C15="",F15="",G15=""),"OK","CHECK"),IF(B15="Section",IF(AND(C15="L"&amp;E15,F15&gt;=1,F15&lt;=13,G15=""),"OK","CHECK"),IF(B15="Cavity",IF(AND(C15="L"&amp;E15&amp;"-S"&amp;TEXT(F15,"00"),F15&gt;=1,F15&lt;=13,G15&gt;=1,G15&lt;=3),"OK","CHECK"),"CHECK")))</x:f>
        <x:v>OK</x:v>
      </x:c>
    </x:row>
    <x:row r="16">
      <x:c r="A16" s="13" t="str">
        <x:v>L21-S03-C2</x:v>
      </x:c>
      <x:c r="B16" s="13" t="str">
        <x:v>Cavity</x:v>
      </x:c>
      <x:c r="C16" s="13" t="str">
        <x:v>L21-S03</x:v>
      </x:c>
      <x:c r="D16" s="13" t="str">
        <x:v>KG01</x:v>
      </x:c>
      <x:c r="E16" s="13" t="n">
        <x:v>21</x:v>
      </x:c>
      <x:c r="F16" s="13" t="n">
        <x:v>3</x:v>
      </x:c>
      <x:c r="G16" s="13" t="n">
        <x:v>2</x:v>
      </x:c>
      <x:c r="H16" s="13" t="str">
        <x:v>Line 21 / Section 03 / Cavity 2</x:v>
      </x:c>
      <x:c r="I16" s="13" t="n">
        <x:v>1</x:v>
      </x:c>
      <x:c r="J16" s="18" t="str">
        <x:f>IF(B16="Line",IF(AND(C16="",F16="",G16=""),"OK","CHECK"),IF(B16="Section",IF(AND(C16="L"&amp;E16,F16&gt;=1,F16&lt;=13,G16=""),"OK","CHECK"),IF(B16="Cavity",IF(AND(C16="L"&amp;E16&amp;"-S"&amp;TEXT(F16,"00"),F16&gt;=1,F16&lt;=13,G16&gt;=1,G16&lt;=3),"OK","CHECK"),"CHECK")))</x:f>
        <x:v>OK</x:v>
      </x:c>
    </x:row>
    <x:row r="17">
      <x:c r="A17" s="13" t="str">
        <x:v>L21-S03-C3</x:v>
      </x:c>
      <x:c r="B17" s="13" t="str">
        <x:v>Cavity</x:v>
      </x:c>
      <x:c r="C17" s="13" t="str">
        <x:v>L21-S03</x:v>
      </x:c>
      <x:c r="D17" s="13" t="str">
        <x:v>KG01</x:v>
      </x:c>
      <x:c r="E17" s="13" t="n">
        <x:v>21</x:v>
      </x:c>
      <x:c r="F17" s="13" t="n">
        <x:v>3</x:v>
      </x:c>
      <x:c r="G17" s="13" t="n">
        <x:v>3</x:v>
      </x:c>
      <x:c r="H17" s="13" t="str">
        <x:v>Line 21 / Section 03 / Cavity 3</x:v>
      </x:c>
      <x:c r="I17" s="13" t="n">
        <x:v>1</x:v>
      </x:c>
      <x:c r="J17" s="18" t="str">
        <x:f>IF(B17="Line",IF(AND(C17="",F17="",G17=""),"OK","CHECK"),IF(B17="Section",IF(AND(C17="L"&amp;E17,F17&gt;=1,F17&lt;=13,G17=""),"OK","CHECK"),IF(B17="Cavity",IF(AND(C17="L"&amp;E17&amp;"-S"&amp;TEXT(F17,"00"),F17&gt;=1,F17&lt;=13,G17&gt;=1,G17&lt;=3),"OK","CHECK"),"CHECK")))</x:f>
        <x:v>OK</x:v>
      </x:c>
    </x:row>
    <x:row r="18">
      <x:c r="A18" s="13" t="str">
        <x:v>L21-S04</x:v>
      </x:c>
      <x:c r="B18" s="13" t="str">
        <x:v>Section</x:v>
      </x:c>
      <x:c r="C18" s="13" t="str">
        <x:v>L21</x:v>
      </x:c>
      <x:c r="D18" s="13" t="str">
        <x:v>KG01</x:v>
      </x:c>
      <x:c r="E18" s="13" t="n">
        <x:v>21</x:v>
      </x:c>
      <x:c r="F18" s="13" t="n">
        <x:v>4</x:v>
      </x:c>
      <x:c r="G18" s="13"/>
      <x:c r="H18" s="13" t="str">
        <x:v>Line 21 / Section 04</x:v>
      </x:c>
      <x:c r="I18" s="13" t="n">
        <x:v>1</x:v>
      </x:c>
      <x:c r="J18" s="18" t="str">
        <x:f>IF(B18="Line",IF(AND(C18="",F18="",G18=""),"OK","CHECK"),IF(B18="Section",IF(AND(C18="L"&amp;E18,F18&gt;=1,F18&lt;=13,G18=""),"OK","CHECK"),IF(B18="Cavity",IF(AND(C18="L"&amp;E18&amp;"-S"&amp;TEXT(F18,"00"),F18&gt;=1,F18&lt;=13,G18&gt;=1,G18&lt;=3),"OK","CHECK"),"CHECK")))</x:f>
        <x:v>OK</x:v>
      </x:c>
    </x:row>
    <x:row r="19">
      <x:c r="A19" s="13" t="str">
        <x:v>L21-S04-C1</x:v>
      </x:c>
      <x:c r="B19" s="13" t="str">
        <x:v>Cavity</x:v>
      </x:c>
      <x:c r="C19" s="13" t="str">
        <x:v>L21-S04</x:v>
      </x:c>
      <x:c r="D19" s="13" t="str">
        <x:v>KG01</x:v>
      </x:c>
      <x:c r="E19" s="13" t="n">
        <x:v>21</x:v>
      </x:c>
      <x:c r="F19" s="13" t="n">
        <x:v>4</x:v>
      </x:c>
      <x:c r="G19" s="13" t="n">
        <x:v>1</x:v>
      </x:c>
      <x:c r="H19" s="13" t="str">
        <x:v>Line 21 / Section 04 / Cavity 1</x:v>
      </x:c>
      <x:c r="I19" s="13" t="n">
        <x:v>1</x:v>
      </x:c>
      <x:c r="J19" s="18" t="str">
        <x:f>IF(B19="Line",IF(AND(C19="",F19="",G19=""),"OK","CHECK"),IF(B19="Section",IF(AND(C19="L"&amp;E19,F19&gt;=1,F19&lt;=13,G19=""),"OK","CHECK"),IF(B19="Cavity",IF(AND(C19="L"&amp;E19&amp;"-S"&amp;TEXT(F19,"00"),F19&gt;=1,F19&lt;=13,G19&gt;=1,G19&lt;=3),"OK","CHECK"),"CHECK")))</x:f>
        <x:v>OK</x:v>
      </x:c>
    </x:row>
    <x:row r="20">
      <x:c r="A20" s="13" t="str">
        <x:v>L21-S04-C2</x:v>
      </x:c>
      <x:c r="B20" s="13" t="str">
        <x:v>Cavity</x:v>
      </x:c>
      <x:c r="C20" s="13" t="str">
        <x:v>L21-S04</x:v>
      </x:c>
      <x:c r="D20" s="13" t="str">
        <x:v>KG01</x:v>
      </x:c>
      <x:c r="E20" s="13" t="n">
        <x:v>21</x:v>
      </x:c>
      <x:c r="F20" s="13" t="n">
        <x:v>4</x:v>
      </x:c>
      <x:c r="G20" s="13" t="n">
        <x:v>2</x:v>
      </x:c>
      <x:c r="H20" s="13" t="str">
        <x:v>Line 21 / Section 04 / Cavity 2</x:v>
      </x:c>
      <x:c r="I20" s="13" t="n">
        <x:v>1</x:v>
      </x:c>
      <x:c r="J20" s="18" t="str">
        <x:f>IF(B20="Line",IF(AND(C20="",F20="",G20=""),"OK","CHECK"),IF(B20="Section",IF(AND(C20="L"&amp;E20,F20&gt;=1,F20&lt;=13,G20=""),"OK","CHECK"),IF(B20="Cavity",IF(AND(C20="L"&amp;E20&amp;"-S"&amp;TEXT(F20,"00"),F20&gt;=1,F20&lt;=13,G20&gt;=1,G20&lt;=3),"OK","CHECK"),"CHECK")))</x:f>
        <x:v>OK</x:v>
      </x:c>
    </x:row>
    <x:row r="21">
      <x:c r="A21" s="13" t="str">
        <x:v>L21-S04-C3</x:v>
      </x:c>
      <x:c r="B21" s="13" t="str">
        <x:v>Cavity</x:v>
      </x:c>
      <x:c r="C21" s="13" t="str">
        <x:v>L21-S04</x:v>
      </x:c>
      <x:c r="D21" s="13" t="str">
        <x:v>KG01</x:v>
      </x:c>
      <x:c r="E21" s="13" t="n">
        <x:v>21</x:v>
      </x:c>
      <x:c r="F21" s="13" t="n">
        <x:v>4</x:v>
      </x:c>
      <x:c r="G21" s="13" t="n">
        <x:v>3</x:v>
      </x:c>
      <x:c r="H21" s="13" t="str">
        <x:v>Line 21 / Section 04 / Cavity 3</x:v>
      </x:c>
      <x:c r="I21" s="13" t="n">
        <x:v>1</x:v>
      </x:c>
      <x:c r="J21" s="18" t="str">
        <x:f>IF(B21="Line",IF(AND(C21="",F21="",G21=""),"OK","CHECK"),IF(B21="Section",IF(AND(C21="L"&amp;E21,F21&gt;=1,F21&lt;=13,G21=""),"OK","CHECK"),IF(B21="Cavity",IF(AND(C21="L"&amp;E21&amp;"-S"&amp;TEXT(F21,"00"),F21&gt;=1,F21&lt;=13,G21&gt;=1,G21&lt;=3),"OK","CHECK"),"CHECK")))</x:f>
        <x:v>OK</x:v>
      </x:c>
    </x:row>
    <x:row r="22">
      <x:c r="A22" s="13" t="str">
        <x:v>L21-S05</x:v>
      </x:c>
      <x:c r="B22" s="13" t="str">
        <x:v>Section</x:v>
      </x:c>
      <x:c r="C22" s="13" t="str">
        <x:v>L21</x:v>
      </x:c>
      <x:c r="D22" s="13" t="str">
        <x:v>KG01</x:v>
      </x:c>
      <x:c r="E22" s="13" t="n">
        <x:v>21</x:v>
      </x:c>
      <x:c r="F22" s="13" t="n">
        <x:v>5</x:v>
      </x:c>
      <x:c r="G22" s="13"/>
      <x:c r="H22" s="13" t="str">
        <x:v>Line 21 / Section 05</x:v>
      </x:c>
      <x:c r="I22" s="13" t="n">
        <x:v>1</x:v>
      </x:c>
      <x:c r="J22" s="18" t="str">
        <x:f>IF(B22="Line",IF(AND(C22="",F22="",G22=""),"OK","CHECK"),IF(B22="Section",IF(AND(C22="L"&amp;E22,F22&gt;=1,F22&lt;=13,G22=""),"OK","CHECK"),IF(B22="Cavity",IF(AND(C22="L"&amp;E22&amp;"-S"&amp;TEXT(F22,"00"),F22&gt;=1,F22&lt;=13,G22&gt;=1,G22&lt;=3),"OK","CHECK"),"CHECK")))</x:f>
        <x:v>OK</x:v>
      </x:c>
    </x:row>
    <x:row r="23">
      <x:c r="A23" s="13" t="str">
        <x:v>L21-S05-C1</x:v>
      </x:c>
      <x:c r="B23" s="13" t="str">
        <x:v>Cavity</x:v>
      </x:c>
      <x:c r="C23" s="13" t="str">
        <x:v>L21-S05</x:v>
      </x:c>
      <x:c r="D23" s="13" t="str">
        <x:v>KG01</x:v>
      </x:c>
      <x:c r="E23" s="13" t="n">
        <x:v>21</x:v>
      </x:c>
      <x:c r="F23" s="13" t="n">
        <x:v>5</x:v>
      </x:c>
      <x:c r="G23" s="13" t="n">
        <x:v>1</x:v>
      </x:c>
      <x:c r="H23" s="13" t="str">
        <x:v>Line 21 / Section 05 / Cavity 1</x:v>
      </x:c>
      <x:c r="I23" s="13" t="n">
        <x:v>1</x:v>
      </x:c>
      <x:c r="J23" s="18" t="str">
        <x:f>IF(B23="Line",IF(AND(C23="",F23="",G23=""),"OK","CHECK"),IF(B23="Section",IF(AND(C23="L"&amp;E23,F23&gt;=1,F23&lt;=13,G23=""),"OK","CHECK"),IF(B23="Cavity",IF(AND(C23="L"&amp;E23&amp;"-S"&amp;TEXT(F23,"00"),F23&gt;=1,F23&lt;=13,G23&gt;=1,G23&lt;=3),"OK","CHECK"),"CHECK")))</x:f>
        <x:v>OK</x:v>
      </x:c>
    </x:row>
    <x:row r="24">
      <x:c r="A24" s="13" t="str">
        <x:v>L21-S05-C2</x:v>
      </x:c>
      <x:c r="B24" s="13" t="str">
        <x:v>Cavity</x:v>
      </x:c>
      <x:c r="C24" s="13" t="str">
        <x:v>L21-S05</x:v>
      </x:c>
      <x:c r="D24" s="13" t="str">
        <x:v>KG01</x:v>
      </x:c>
      <x:c r="E24" s="13" t="n">
        <x:v>21</x:v>
      </x:c>
      <x:c r="F24" s="13" t="n">
        <x:v>5</x:v>
      </x:c>
      <x:c r="G24" s="13" t="n">
        <x:v>2</x:v>
      </x:c>
      <x:c r="H24" s="13" t="str">
        <x:v>Line 21 / Section 05 / Cavity 2</x:v>
      </x:c>
      <x:c r="I24" s="13" t="n">
        <x:v>1</x:v>
      </x:c>
      <x:c r="J24" s="18" t="str">
        <x:f>IF(B24="Line",IF(AND(C24="",F24="",G24=""),"OK","CHECK"),IF(B24="Section",IF(AND(C24="L"&amp;E24,F24&gt;=1,F24&lt;=13,G24=""),"OK","CHECK"),IF(B24="Cavity",IF(AND(C24="L"&amp;E24&amp;"-S"&amp;TEXT(F24,"00"),F24&gt;=1,F24&lt;=13,G24&gt;=1,G24&lt;=3),"OK","CHECK"),"CHECK")))</x:f>
        <x:v>OK</x:v>
      </x:c>
    </x:row>
    <x:row r="25">
      <x:c r="A25" s="13" t="str">
        <x:v>L21-S05-C3</x:v>
      </x:c>
      <x:c r="B25" s="13" t="str">
        <x:v>Cavity</x:v>
      </x:c>
      <x:c r="C25" s="13" t="str">
        <x:v>L21-S05</x:v>
      </x:c>
      <x:c r="D25" s="13" t="str">
        <x:v>KG01</x:v>
      </x:c>
      <x:c r="E25" s="13" t="n">
        <x:v>21</x:v>
      </x:c>
      <x:c r="F25" s="13" t="n">
        <x:v>5</x:v>
      </x:c>
      <x:c r="G25" s="13" t="n">
        <x:v>3</x:v>
      </x:c>
      <x:c r="H25" s="13" t="str">
        <x:v>Line 21 / Section 05 / Cavity 3</x:v>
      </x:c>
      <x:c r="I25" s="13" t="n">
        <x:v>1</x:v>
      </x:c>
      <x:c r="J25" s="18" t="str">
        <x:f>IF(B25="Line",IF(AND(C25="",F25="",G25=""),"OK","CHECK"),IF(B25="Section",IF(AND(C25="L"&amp;E25,F25&gt;=1,F25&lt;=13,G25=""),"OK","CHECK"),IF(B25="Cavity",IF(AND(C25="L"&amp;E25&amp;"-S"&amp;TEXT(F25,"00"),F25&gt;=1,F25&lt;=13,G25&gt;=1,G25&lt;=3),"OK","CHECK"),"CHECK")))</x:f>
        <x:v>OK</x:v>
      </x:c>
    </x:row>
    <x:row r="26">
      <x:c r="A26" s="13" t="str">
        <x:v>L21-S06</x:v>
      </x:c>
      <x:c r="B26" s="13" t="str">
        <x:v>Section</x:v>
      </x:c>
      <x:c r="C26" s="13" t="str">
        <x:v>L21</x:v>
      </x:c>
      <x:c r="D26" s="13" t="str">
        <x:v>KG01</x:v>
      </x:c>
      <x:c r="E26" s="13" t="n">
        <x:v>21</x:v>
      </x:c>
      <x:c r="F26" s="13" t="n">
        <x:v>6</x:v>
      </x:c>
      <x:c r="G26" s="13"/>
      <x:c r="H26" s="13" t="str">
        <x:v>Line 21 / Section 06</x:v>
      </x:c>
      <x:c r="I26" s="13" t="n">
        <x:v>1</x:v>
      </x:c>
      <x:c r="J26" s="18" t="str">
        <x:f>IF(B26="Line",IF(AND(C26="",F26="",G26=""),"OK","CHECK"),IF(B26="Section",IF(AND(C26="L"&amp;E26,F26&gt;=1,F26&lt;=13,G26=""),"OK","CHECK"),IF(B26="Cavity",IF(AND(C26="L"&amp;E26&amp;"-S"&amp;TEXT(F26,"00"),F26&gt;=1,F26&lt;=13,G26&gt;=1,G26&lt;=3),"OK","CHECK"),"CHECK")))</x:f>
        <x:v>OK</x:v>
      </x:c>
    </x:row>
    <x:row r="27">
      <x:c r="A27" s="13" t="str">
        <x:v>L21-S06-C1</x:v>
      </x:c>
      <x:c r="B27" s="13" t="str">
        <x:v>Cavity</x:v>
      </x:c>
      <x:c r="C27" s="13" t="str">
        <x:v>L21-S06</x:v>
      </x:c>
      <x:c r="D27" s="13" t="str">
        <x:v>KG01</x:v>
      </x:c>
      <x:c r="E27" s="13" t="n">
        <x:v>21</x:v>
      </x:c>
      <x:c r="F27" s="13" t="n">
        <x:v>6</x:v>
      </x:c>
      <x:c r="G27" s="13" t="n">
        <x:v>1</x:v>
      </x:c>
      <x:c r="H27" s="13" t="str">
        <x:v>Line 21 / Section 06 / Cavity 1</x:v>
      </x:c>
      <x:c r="I27" s="13" t="n">
        <x:v>1</x:v>
      </x:c>
      <x:c r="J27" s="18" t="str">
        <x:f>IF(B27="Line",IF(AND(C27="",F27="",G27=""),"OK","CHECK"),IF(B27="Section",IF(AND(C27="L"&amp;E27,F27&gt;=1,F27&lt;=13,G27=""),"OK","CHECK"),IF(B27="Cavity",IF(AND(C27="L"&amp;E27&amp;"-S"&amp;TEXT(F27,"00"),F27&gt;=1,F27&lt;=13,G27&gt;=1,G27&lt;=3),"OK","CHECK"),"CHECK")))</x:f>
        <x:v>OK</x:v>
      </x:c>
    </x:row>
    <x:row r="28">
      <x:c r="A28" s="13" t="str">
        <x:v>L21-S06-C2</x:v>
      </x:c>
      <x:c r="B28" s="13" t="str">
        <x:v>Cavity</x:v>
      </x:c>
      <x:c r="C28" s="13" t="str">
        <x:v>L21-S06</x:v>
      </x:c>
      <x:c r="D28" s="13" t="str">
        <x:v>KG01</x:v>
      </x:c>
      <x:c r="E28" s="13" t="n">
        <x:v>21</x:v>
      </x:c>
      <x:c r="F28" s="13" t="n">
        <x:v>6</x:v>
      </x:c>
      <x:c r="G28" s="13" t="n">
        <x:v>2</x:v>
      </x:c>
      <x:c r="H28" s="13" t="str">
        <x:v>Line 21 / Section 06 / Cavity 2</x:v>
      </x:c>
      <x:c r="I28" s="13" t="n">
        <x:v>1</x:v>
      </x:c>
      <x:c r="J28" s="18" t="str">
        <x:f>IF(B28="Line",IF(AND(C28="",F28="",G28=""),"OK","CHECK"),IF(B28="Section",IF(AND(C28="L"&amp;E28,F28&gt;=1,F28&lt;=13,G28=""),"OK","CHECK"),IF(B28="Cavity",IF(AND(C28="L"&amp;E28&amp;"-S"&amp;TEXT(F28,"00"),F28&gt;=1,F28&lt;=13,G28&gt;=1,G28&lt;=3),"OK","CHECK"),"CHECK")))</x:f>
        <x:v>OK</x:v>
      </x:c>
    </x:row>
    <x:row r="29">
      <x:c r="A29" s="13" t="str">
        <x:v>L21-S06-C3</x:v>
      </x:c>
      <x:c r="B29" s="13" t="str">
        <x:v>Cavity</x:v>
      </x:c>
      <x:c r="C29" s="13" t="str">
        <x:v>L21-S06</x:v>
      </x:c>
      <x:c r="D29" s="13" t="str">
        <x:v>KG01</x:v>
      </x:c>
      <x:c r="E29" s="13" t="n">
        <x:v>21</x:v>
      </x:c>
      <x:c r="F29" s="13" t="n">
        <x:v>6</x:v>
      </x:c>
      <x:c r="G29" s="13" t="n">
        <x:v>3</x:v>
      </x:c>
      <x:c r="H29" s="13" t="str">
        <x:v>Line 21 / Section 06 / Cavity 3</x:v>
      </x:c>
      <x:c r="I29" s="13" t="n">
        <x:v>1</x:v>
      </x:c>
      <x:c r="J29" s="18" t="str">
        <x:f>IF(B29="Line",IF(AND(C29="",F29="",G29=""),"OK","CHECK"),IF(B29="Section",IF(AND(C29="L"&amp;E29,F29&gt;=1,F29&lt;=13,G29=""),"OK","CHECK"),IF(B29="Cavity",IF(AND(C29="L"&amp;E29&amp;"-S"&amp;TEXT(F29,"00"),F29&gt;=1,F29&lt;=13,G29&gt;=1,G29&lt;=3),"OK","CHECK"),"CHECK")))</x:f>
        <x:v>OK</x:v>
      </x:c>
    </x:row>
    <x:row r="30">
      <x:c r="A30" s="13" t="str">
        <x:v>L21-S07</x:v>
      </x:c>
      <x:c r="B30" s="13" t="str">
        <x:v>Section</x:v>
      </x:c>
      <x:c r="C30" s="13" t="str">
        <x:v>L21</x:v>
      </x:c>
      <x:c r="D30" s="13" t="str">
        <x:v>KG01</x:v>
      </x:c>
      <x:c r="E30" s="13" t="n">
        <x:v>21</x:v>
      </x:c>
      <x:c r="F30" s="13" t="n">
        <x:v>7</x:v>
      </x:c>
      <x:c r="G30" s="13"/>
      <x:c r="H30" s="13" t="str">
        <x:v>Line 21 / Section 07</x:v>
      </x:c>
      <x:c r="I30" s="13" t="n">
        <x:v>1</x:v>
      </x:c>
      <x:c r="J30" s="18" t="str">
        <x:f>IF(B30="Line",IF(AND(C30="",F30="",G30=""),"OK","CHECK"),IF(B30="Section",IF(AND(C30="L"&amp;E30,F30&gt;=1,F30&lt;=13,G30=""),"OK","CHECK"),IF(B30="Cavity",IF(AND(C30="L"&amp;E30&amp;"-S"&amp;TEXT(F30,"00"),F30&gt;=1,F30&lt;=13,G30&gt;=1,G30&lt;=3),"OK","CHECK"),"CHECK")))</x:f>
        <x:v>OK</x:v>
      </x:c>
    </x:row>
    <x:row r="31">
      <x:c r="A31" s="13" t="str">
        <x:v>L21-S07-C1</x:v>
      </x:c>
      <x:c r="B31" s="13" t="str">
        <x:v>Cavity</x:v>
      </x:c>
      <x:c r="C31" s="13" t="str">
        <x:v>L21-S07</x:v>
      </x:c>
      <x:c r="D31" s="13" t="str">
        <x:v>KG01</x:v>
      </x:c>
      <x:c r="E31" s="13" t="n">
        <x:v>21</x:v>
      </x:c>
      <x:c r="F31" s="13" t="n">
        <x:v>7</x:v>
      </x:c>
      <x:c r="G31" s="13" t="n">
        <x:v>1</x:v>
      </x:c>
      <x:c r="H31" s="13" t="str">
        <x:v>Line 21 / Section 07 / Cavity 1</x:v>
      </x:c>
      <x:c r="I31" s="13" t="n">
        <x:v>1</x:v>
      </x:c>
      <x:c r="J31" s="18" t="str">
        <x:f>IF(B31="Line",IF(AND(C31="",F31="",G31=""),"OK","CHECK"),IF(B31="Section",IF(AND(C31="L"&amp;E31,F31&gt;=1,F31&lt;=13,G31=""),"OK","CHECK"),IF(B31="Cavity",IF(AND(C31="L"&amp;E31&amp;"-S"&amp;TEXT(F31,"00"),F31&gt;=1,F31&lt;=13,G31&gt;=1,G31&lt;=3),"OK","CHECK"),"CHECK")))</x:f>
        <x:v>OK</x:v>
      </x:c>
    </x:row>
    <x:row r="32">
      <x:c r="A32" s="13" t="str">
        <x:v>L21-S07-C2</x:v>
      </x:c>
      <x:c r="B32" s="13" t="str">
        <x:v>Cavity</x:v>
      </x:c>
      <x:c r="C32" s="13" t="str">
        <x:v>L21-S07</x:v>
      </x:c>
      <x:c r="D32" s="13" t="str">
        <x:v>KG01</x:v>
      </x:c>
      <x:c r="E32" s="13" t="n">
        <x:v>21</x:v>
      </x:c>
      <x:c r="F32" s="13" t="n">
        <x:v>7</x:v>
      </x:c>
      <x:c r="G32" s="13" t="n">
        <x:v>2</x:v>
      </x:c>
      <x:c r="H32" s="13" t="str">
        <x:v>Line 21 / Section 07 / Cavity 2</x:v>
      </x:c>
      <x:c r="I32" s="13" t="n">
        <x:v>1</x:v>
      </x:c>
      <x:c r="J32" s="18" t="str">
        <x:f>IF(B32="Line",IF(AND(C32="",F32="",G32=""),"OK","CHECK"),IF(B32="Section",IF(AND(C32="L"&amp;E32,F32&gt;=1,F32&lt;=13,G32=""),"OK","CHECK"),IF(B32="Cavity",IF(AND(C32="L"&amp;E32&amp;"-S"&amp;TEXT(F32,"00"),F32&gt;=1,F32&lt;=13,G32&gt;=1,G32&lt;=3),"OK","CHECK"),"CHECK")))</x:f>
        <x:v>OK</x:v>
      </x:c>
    </x:row>
    <x:row r="33">
      <x:c r="A33" s="13" t="str">
        <x:v>L21-S07-C3</x:v>
      </x:c>
      <x:c r="B33" s="13" t="str">
        <x:v>Cavity</x:v>
      </x:c>
      <x:c r="C33" s="13" t="str">
        <x:v>L21-S07</x:v>
      </x:c>
      <x:c r="D33" s="13" t="str">
        <x:v>KG01</x:v>
      </x:c>
      <x:c r="E33" s="13" t="n">
        <x:v>21</x:v>
      </x:c>
      <x:c r="F33" s="13" t="n">
        <x:v>7</x:v>
      </x:c>
      <x:c r="G33" s="13" t="n">
        <x:v>3</x:v>
      </x:c>
      <x:c r="H33" s="13" t="str">
        <x:v>Line 21 / Section 07 / Cavity 3</x:v>
      </x:c>
      <x:c r="I33" s="13" t="n">
        <x:v>1</x:v>
      </x:c>
      <x:c r="J33" s="18" t="str">
        <x:f>IF(B33="Line",IF(AND(C33="",F33="",G33=""),"OK","CHECK"),IF(B33="Section",IF(AND(C33="L"&amp;E33,F33&gt;=1,F33&lt;=13,G33=""),"OK","CHECK"),IF(B33="Cavity",IF(AND(C33="L"&amp;E33&amp;"-S"&amp;TEXT(F33,"00"),F33&gt;=1,F33&lt;=13,G33&gt;=1,G33&lt;=3),"OK","CHECK"),"CHECK")))</x:f>
        <x:v>OK</x:v>
      </x:c>
    </x:row>
    <x:row r="34">
      <x:c r="A34" s="13" t="str">
        <x:v>L21-S08</x:v>
      </x:c>
      <x:c r="B34" s="13" t="str">
        <x:v>Section</x:v>
      </x:c>
      <x:c r="C34" s="13" t="str">
        <x:v>L21</x:v>
      </x:c>
      <x:c r="D34" s="13" t="str">
        <x:v>KG01</x:v>
      </x:c>
      <x:c r="E34" s="13" t="n">
        <x:v>21</x:v>
      </x:c>
      <x:c r="F34" s="13" t="n">
        <x:v>8</x:v>
      </x:c>
      <x:c r="G34" s="13"/>
      <x:c r="H34" s="13" t="str">
        <x:v>Line 21 / Section 08</x:v>
      </x:c>
      <x:c r="I34" s="13" t="n">
        <x:v>1</x:v>
      </x:c>
      <x:c r="J34" s="18" t="str">
        <x:f>IF(B34="Line",IF(AND(C34="",F34="",G34=""),"OK","CHECK"),IF(B34="Section",IF(AND(C34="L"&amp;E34,F34&gt;=1,F34&lt;=13,G34=""),"OK","CHECK"),IF(B34="Cavity",IF(AND(C34="L"&amp;E34&amp;"-S"&amp;TEXT(F34,"00"),F34&gt;=1,F34&lt;=13,G34&gt;=1,G34&lt;=3),"OK","CHECK"),"CHECK")))</x:f>
        <x:v>OK</x:v>
      </x:c>
    </x:row>
    <x:row r="35">
      <x:c r="A35" s="13" t="str">
        <x:v>L21-S08-C1</x:v>
      </x:c>
      <x:c r="B35" s="13" t="str">
        <x:v>Cavity</x:v>
      </x:c>
      <x:c r="C35" s="13" t="str">
        <x:v>L21-S08</x:v>
      </x:c>
      <x:c r="D35" s="13" t="str">
        <x:v>KG01</x:v>
      </x:c>
      <x:c r="E35" s="13" t="n">
        <x:v>21</x:v>
      </x:c>
      <x:c r="F35" s="13" t="n">
        <x:v>8</x:v>
      </x:c>
      <x:c r="G35" s="13" t="n">
        <x:v>1</x:v>
      </x:c>
      <x:c r="H35" s="13" t="str">
        <x:v>Line 21 / Section 08 / Cavity 1</x:v>
      </x:c>
      <x:c r="I35" s="13" t="n">
        <x:v>1</x:v>
      </x:c>
      <x:c r="J35" s="18" t="str">
        <x:f>IF(B35="Line",IF(AND(C35="",F35="",G35=""),"OK","CHECK"),IF(B35="Section",IF(AND(C35="L"&amp;E35,F35&gt;=1,F35&lt;=13,G35=""),"OK","CHECK"),IF(B35="Cavity",IF(AND(C35="L"&amp;E35&amp;"-S"&amp;TEXT(F35,"00"),F35&gt;=1,F35&lt;=13,G35&gt;=1,G35&lt;=3),"OK","CHECK"),"CHECK")))</x:f>
        <x:v>OK</x:v>
      </x:c>
    </x:row>
    <x:row r="36">
      <x:c r="A36" s="13" t="str">
        <x:v>L21-S08-C2</x:v>
      </x:c>
      <x:c r="B36" s="13" t="str">
        <x:v>Cavity</x:v>
      </x:c>
      <x:c r="C36" s="13" t="str">
        <x:v>L21-S08</x:v>
      </x:c>
      <x:c r="D36" s="13" t="str">
        <x:v>KG01</x:v>
      </x:c>
      <x:c r="E36" s="13" t="n">
        <x:v>21</x:v>
      </x:c>
      <x:c r="F36" s="13" t="n">
        <x:v>8</x:v>
      </x:c>
      <x:c r="G36" s="13" t="n">
        <x:v>2</x:v>
      </x:c>
      <x:c r="H36" s="13" t="str">
        <x:v>Line 21 / Section 08 / Cavity 2</x:v>
      </x:c>
      <x:c r="I36" s="13" t="n">
        <x:v>1</x:v>
      </x:c>
      <x:c r="J36" s="18" t="str">
        <x:f>IF(B36="Line",IF(AND(C36="",F36="",G36=""),"OK","CHECK"),IF(B36="Section",IF(AND(C36="L"&amp;E36,F36&gt;=1,F36&lt;=13,G36=""),"OK","CHECK"),IF(B36="Cavity",IF(AND(C36="L"&amp;E36&amp;"-S"&amp;TEXT(F36,"00"),F36&gt;=1,F36&lt;=13,G36&gt;=1,G36&lt;=3),"OK","CHECK"),"CHECK")))</x:f>
        <x:v>OK</x:v>
      </x:c>
    </x:row>
    <x:row r="37">
      <x:c r="A37" s="13" t="str">
        <x:v>L21-S08-C3</x:v>
      </x:c>
      <x:c r="B37" s="13" t="str">
        <x:v>Cavity</x:v>
      </x:c>
      <x:c r="C37" s="13" t="str">
        <x:v>L21-S08</x:v>
      </x:c>
      <x:c r="D37" s="13" t="str">
        <x:v>KG01</x:v>
      </x:c>
      <x:c r="E37" s="13" t="n">
        <x:v>21</x:v>
      </x:c>
      <x:c r="F37" s="13" t="n">
        <x:v>8</x:v>
      </x:c>
      <x:c r="G37" s="13" t="n">
        <x:v>3</x:v>
      </x:c>
      <x:c r="H37" s="13" t="str">
        <x:v>Line 21 / Section 08 / Cavity 3</x:v>
      </x:c>
      <x:c r="I37" s="13" t="n">
        <x:v>1</x:v>
      </x:c>
      <x:c r="J37" s="18" t="str">
        <x:f>IF(B37="Line",IF(AND(C37="",F37="",G37=""),"OK","CHECK"),IF(B37="Section",IF(AND(C37="L"&amp;E37,F37&gt;=1,F37&lt;=13,G37=""),"OK","CHECK"),IF(B37="Cavity",IF(AND(C37="L"&amp;E37&amp;"-S"&amp;TEXT(F37,"00"),F37&gt;=1,F37&lt;=13,G37&gt;=1,G37&lt;=3),"OK","CHECK"),"CHECK")))</x:f>
        <x:v>OK</x:v>
      </x:c>
    </x:row>
    <x:row r="38">
      <x:c r="A38" s="13" t="str">
        <x:v>L21-S09</x:v>
      </x:c>
      <x:c r="B38" s="13" t="str">
        <x:v>Section</x:v>
      </x:c>
      <x:c r="C38" s="13" t="str">
        <x:v>L21</x:v>
      </x:c>
      <x:c r="D38" s="13" t="str">
        <x:v>KG01</x:v>
      </x:c>
      <x:c r="E38" s="13" t="n">
        <x:v>21</x:v>
      </x:c>
      <x:c r="F38" s="13" t="n">
        <x:v>9</x:v>
      </x:c>
      <x:c r="G38" s="13"/>
      <x:c r="H38" s="13" t="str">
        <x:v>Line 21 / Section 09</x:v>
      </x:c>
      <x:c r="I38" s="13" t="n">
        <x:v>1</x:v>
      </x:c>
      <x:c r="J38" s="18" t="str">
        <x:f>IF(B38="Line",IF(AND(C38="",F38="",G38=""),"OK","CHECK"),IF(B38="Section",IF(AND(C38="L"&amp;E38,F38&gt;=1,F38&lt;=13,G38=""),"OK","CHECK"),IF(B38="Cavity",IF(AND(C38="L"&amp;E38&amp;"-S"&amp;TEXT(F38,"00"),F38&gt;=1,F38&lt;=13,G38&gt;=1,G38&lt;=3),"OK","CHECK"),"CHECK")))</x:f>
        <x:v>OK</x:v>
      </x:c>
    </x:row>
    <x:row r="39">
      <x:c r="A39" s="13" t="str">
        <x:v>L21-S09-C1</x:v>
      </x:c>
      <x:c r="B39" s="13" t="str">
        <x:v>Cavity</x:v>
      </x:c>
      <x:c r="C39" s="13" t="str">
        <x:v>L21-S09</x:v>
      </x:c>
      <x:c r="D39" s="13" t="str">
        <x:v>KG01</x:v>
      </x:c>
      <x:c r="E39" s="13" t="n">
        <x:v>21</x:v>
      </x:c>
      <x:c r="F39" s="13" t="n">
        <x:v>9</x:v>
      </x:c>
      <x:c r="G39" s="13" t="n">
        <x:v>1</x:v>
      </x:c>
      <x:c r="H39" s="13" t="str">
        <x:v>Line 21 / Section 09 / Cavity 1</x:v>
      </x:c>
      <x:c r="I39" s="13" t="n">
        <x:v>1</x:v>
      </x:c>
      <x:c r="J39" s="18" t="str">
        <x:f>IF(B39="Line",IF(AND(C39="",F39="",G39=""),"OK","CHECK"),IF(B39="Section",IF(AND(C39="L"&amp;E39,F39&gt;=1,F39&lt;=13,G39=""),"OK","CHECK"),IF(B39="Cavity",IF(AND(C39="L"&amp;E39&amp;"-S"&amp;TEXT(F39,"00"),F39&gt;=1,F39&lt;=13,G39&gt;=1,G39&lt;=3),"OK","CHECK"),"CHECK")))</x:f>
        <x:v>OK</x:v>
      </x:c>
    </x:row>
    <x:row r="40">
      <x:c r="A40" s="13" t="str">
        <x:v>L21-S09-C2</x:v>
      </x:c>
      <x:c r="B40" s="13" t="str">
        <x:v>Cavity</x:v>
      </x:c>
      <x:c r="C40" s="13" t="str">
        <x:v>L21-S09</x:v>
      </x:c>
      <x:c r="D40" s="13" t="str">
        <x:v>KG01</x:v>
      </x:c>
      <x:c r="E40" s="13" t="n">
        <x:v>21</x:v>
      </x:c>
      <x:c r="F40" s="13" t="n">
        <x:v>9</x:v>
      </x:c>
      <x:c r="G40" s="13" t="n">
        <x:v>2</x:v>
      </x:c>
      <x:c r="H40" s="13" t="str">
        <x:v>Line 21 / Section 09 / Cavity 2</x:v>
      </x:c>
      <x:c r="I40" s="13" t="n">
        <x:v>1</x:v>
      </x:c>
      <x:c r="J40" s="18" t="str">
        <x:f>IF(B40="Line",IF(AND(C40="",F40="",G40=""),"OK","CHECK"),IF(B40="Section",IF(AND(C40="L"&amp;E40,F40&gt;=1,F40&lt;=13,G40=""),"OK","CHECK"),IF(B40="Cavity",IF(AND(C40="L"&amp;E40&amp;"-S"&amp;TEXT(F40,"00"),F40&gt;=1,F40&lt;=13,G40&gt;=1,G40&lt;=3),"OK","CHECK"),"CHECK")))</x:f>
        <x:v>OK</x:v>
      </x:c>
    </x:row>
    <x:row r="41">
      <x:c r="A41" s="13" t="str">
        <x:v>L21-S09-C3</x:v>
      </x:c>
      <x:c r="B41" s="13" t="str">
        <x:v>Cavity</x:v>
      </x:c>
      <x:c r="C41" s="13" t="str">
        <x:v>L21-S09</x:v>
      </x:c>
      <x:c r="D41" s="13" t="str">
        <x:v>KG01</x:v>
      </x:c>
      <x:c r="E41" s="13" t="n">
        <x:v>21</x:v>
      </x:c>
      <x:c r="F41" s="13" t="n">
        <x:v>9</x:v>
      </x:c>
      <x:c r="G41" s="13" t="n">
        <x:v>3</x:v>
      </x:c>
      <x:c r="H41" s="13" t="str">
        <x:v>Line 21 / Section 09 / Cavity 3</x:v>
      </x:c>
      <x:c r="I41" s="13" t="n">
        <x:v>1</x:v>
      </x:c>
      <x:c r="J41" s="18" t="str">
        <x:f>IF(B41="Line",IF(AND(C41="",F41="",G41=""),"OK","CHECK"),IF(B41="Section",IF(AND(C41="L"&amp;E41,F41&gt;=1,F41&lt;=13,G41=""),"OK","CHECK"),IF(B41="Cavity",IF(AND(C41="L"&amp;E41&amp;"-S"&amp;TEXT(F41,"00"),F41&gt;=1,F41&lt;=13,G41&gt;=1,G41&lt;=3),"OK","CHECK"),"CHECK")))</x:f>
        <x:v>OK</x:v>
      </x:c>
    </x:row>
    <x:row r="42">
      <x:c r="A42" s="13" t="str">
        <x:v>L21-S10</x:v>
      </x:c>
      <x:c r="B42" s="13" t="str">
        <x:v>Section</x:v>
      </x:c>
      <x:c r="C42" s="13" t="str">
        <x:v>L21</x:v>
      </x:c>
      <x:c r="D42" s="13" t="str">
        <x:v>KG01</x:v>
      </x:c>
      <x:c r="E42" s="13" t="n">
        <x:v>21</x:v>
      </x:c>
      <x:c r="F42" s="13" t="n">
        <x:v>10</x:v>
      </x:c>
      <x:c r="G42" s="13"/>
      <x:c r="H42" s="13" t="str">
        <x:v>Line 21 / Section 10</x:v>
      </x:c>
      <x:c r="I42" s="13" t="n">
        <x:v>1</x:v>
      </x:c>
      <x:c r="J42" s="18" t="str">
        <x:f>IF(B42="Line",IF(AND(C42="",F42="",G42=""),"OK","CHECK"),IF(B42="Section",IF(AND(C42="L"&amp;E42,F42&gt;=1,F42&lt;=13,G42=""),"OK","CHECK"),IF(B42="Cavity",IF(AND(C42="L"&amp;E42&amp;"-S"&amp;TEXT(F42,"00"),F42&gt;=1,F42&lt;=13,G42&gt;=1,G42&lt;=3),"OK","CHECK"),"CHECK")))</x:f>
        <x:v>OK</x:v>
      </x:c>
    </x:row>
    <x:row r="43">
      <x:c r="A43" s="13" t="str">
        <x:v>L21-S10-C1</x:v>
      </x:c>
      <x:c r="B43" s="13" t="str">
        <x:v>Cavity</x:v>
      </x:c>
      <x:c r="C43" s="13" t="str">
        <x:v>L21-S10</x:v>
      </x:c>
      <x:c r="D43" s="13" t="str">
        <x:v>KG01</x:v>
      </x:c>
      <x:c r="E43" s="13" t="n">
        <x:v>21</x:v>
      </x:c>
      <x:c r="F43" s="13" t="n">
        <x:v>10</x:v>
      </x:c>
      <x:c r="G43" s="13" t="n">
        <x:v>1</x:v>
      </x:c>
      <x:c r="H43" s="13" t="str">
        <x:v>Line 21 / Section 10 / Cavity 1</x:v>
      </x:c>
      <x:c r="I43" s="13" t="n">
        <x:v>1</x:v>
      </x:c>
      <x:c r="J43" s="18" t="str">
        <x:f>IF(B43="Line",IF(AND(C43="",F43="",G43=""),"OK","CHECK"),IF(B43="Section",IF(AND(C43="L"&amp;E43,F43&gt;=1,F43&lt;=13,G43=""),"OK","CHECK"),IF(B43="Cavity",IF(AND(C43="L"&amp;E43&amp;"-S"&amp;TEXT(F43,"00"),F43&gt;=1,F43&lt;=13,G43&gt;=1,G43&lt;=3),"OK","CHECK"),"CHECK")))</x:f>
        <x:v>OK</x:v>
      </x:c>
    </x:row>
    <x:row r="44">
      <x:c r="A44" s="13" t="str">
        <x:v>L21-S10-C2</x:v>
      </x:c>
      <x:c r="B44" s="13" t="str">
        <x:v>Cavity</x:v>
      </x:c>
      <x:c r="C44" s="13" t="str">
        <x:v>L21-S10</x:v>
      </x:c>
      <x:c r="D44" s="13" t="str">
        <x:v>KG01</x:v>
      </x:c>
      <x:c r="E44" s="13" t="n">
        <x:v>21</x:v>
      </x:c>
      <x:c r="F44" s="13" t="n">
        <x:v>10</x:v>
      </x:c>
      <x:c r="G44" s="13" t="n">
        <x:v>2</x:v>
      </x:c>
      <x:c r="H44" s="13" t="str">
        <x:v>Line 21 / Section 10 / Cavity 2</x:v>
      </x:c>
      <x:c r="I44" s="13" t="n">
        <x:v>1</x:v>
      </x:c>
      <x:c r="J44" s="18" t="str">
        <x:f>IF(B44="Line",IF(AND(C44="",F44="",G44=""),"OK","CHECK"),IF(B44="Section",IF(AND(C44="L"&amp;E44,F44&gt;=1,F44&lt;=13,G44=""),"OK","CHECK"),IF(B44="Cavity",IF(AND(C44="L"&amp;E44&amp;"-S"&amp;TEXT(F44,"00"),F44&gt;=1,F44&lt;=13,G44&gt;=1,G44&lt;=3),"OK","CHECK"),"CHECK")))</x:f>
        <x:v>OK</x:v>
      </x:c>
    </x:row>
    <x:row r="45">
      <x:c r="A45" s="13" t="str">
        <x:v>L21-S10-C3</x:v>
      </x:c>
      <x:c r="B45" s="13" t="str">
        <x:v>Cavity</x:v>
      </x:c>
      <x:c r="C45" s="13" t="str">
        <x:v>L21-S10</x:v>
      </x:c>
      <x:c r="D45" s="13" t="str">
        <x:v>KG01</x:v>
      </x:c>
      <x:c r="E45" s="13" t="n">
        <x:v>21</x:v>
      </x:c>
      <x:c r="F45" s="13" t="n">
        <x:v>10</x:v>
      </x:c>
      <x:c r="G45" s="13" t="n">
        <x:v>3</x:v>
      </x:c>
      <x:c r="H45" s="13" t="str">
        <x:v>Line 21 / Section 10 / Cavity 3</x:v>
      </x:c>
      <x:c r="I45" s="13" t="n">
        <x:v>1</x:v>
      </x:c>
      <x:c r="J45" s="18" t="str">
        <x:f>IF(B45="Line",IF(AND(C45="",F45="",G45=""),"OK","CHECK"),IF(B45="Section",IF(AND(C45="L"&amp;E45,F45&gt;=1,F45&lt;=13,G45=""),"OK","CHECK"),IF(B45="Cavity",IF(AND(C45="L"&amp;E45&amp;"-S"&amp;TEXT(F45,"00"),F45&gt;=1,F45&lt;=13,G45&gt;=1,G45&lt;=3),"OK","CHECK"),"CHECK")))</x:f>
        <x:v>OK</x:v>
      </x:c>
    </x:row>
    <x:row r="46">
      <x:c r="A46" s="13" t="str">
        <x:v>L21-S11</x:v>
      </x:c>
      <x:c r="B46" s="13" t="str">
        <x:v>Section</x:v>
      </x:c>
      <x:c r="C46" s="13" t="str">
        <x:v>L21</x:v>
      </x:c>
      <x:c r="D46" s="13" t="str">
        <x:v>KG01</x:v>
      </x:c>
      <x:c r="E46" s="13" t="n">
        <x:v>21</x:v>
      </x:c>
      <x:c r="F46" s="13" t="n">
        <x:v>11</x:v>
      </x:c>
      <x:c r="G46" s="13"/>
      <x:c r="H46" s="13" t="str">
        <x:v>Line 21 / Section 11</x:v>
      </x:c>
      <x:c r="I46" s="13" t="n">
        <x:v>1</x:v>
      </x:c>
      <x:c r="J46" s="18" t="str">
        <x:f>IF(B46="Line",IF(AND(C46="",F46="",G46=""),"OK","CHECK"),IF(B46="Section",IF(AND(C46="L"&amp;E46,F46&gt;=1,F46&lt;=13,G46=""),"OK","CHECK"),IF(B46="Cavity",IF(AND(C46="L"&amp;E46&amp;"-S"&amp;TEXT(F46,"00"),F46&gt;=1,F46&lt;=13,G46&gt;=1,G46&lt;=3),"OK","CHECK"),"CHECK")))</x:f>
        <x:v>OK</x:v>
      </x:c>
    </x:row>
    <x:row r="47">
      <x:c r="A47" s="13" t="str">
        <x:v>L21-S11-C1</x:v>
      </x:c>
      <x:c r="B47" s="13" t="str">
        <x:v>Cavity</x:v>
      </x:c>
      <x:c r="C47" s="13" t="str">
        <x:v>L21-S11</x:v>
      </x:c>
      <x:c r="D47" s="13" t="str">
        <x:v>KG01</x:v>
      </x:c>
      <x:c r="E47" s="13" t="n">
        <x:v>21</x:v>
      </x:c>
      <x:c r="F47" s="13" t="n">
        <x:v>11</x:v>
      </x:c>
      <x:c r="G47" s="13" t="n">
        <x:v>1</x:v>
      </x:c>
      <x:c r="H47" s="13" t="str">
        <x:v>Line 21 / Section 11 / Cavity 1</x:v>
      </x:c>
      <x:c r="I47" s="13" t="n">
        <x:v>1</x:v>
      </x:c>
      <x:c r="J47" s="18" t="str">
        <x:f>IF(B47="Line",IF(AND(C47="",F47="",G47=""),"OK","CHECK"),IF(B47="Section",IF(AND(C47="L"&amp;E47,F47&gt;=1,F47&lt;=13,G47=""),"OK","CHECK"),IF(B47="Cavity",IF(AND(C47="L"&amp;E47&amp;"-S"&amp;TEXT(F47,"00"),F47&gt;=1,F47&lt;=13,G47&gt;=1,G47&lt;=3),"OK","CHECK"),"CHECK")))</x:f>
        <x:v>OK</x:v>
      </x:c>
    </x:row>
    <x:row r="48">
      <x:c r="A48" s="13" t="str">
        <x:v>L21-S11-C2</x:v>
      </x:c>
      <x:c r="B48" s="13" t="str">
        <x:v>Cavity</x:v>
      </x:c>
      <x:c r="C48" s="13" t="str">
        <x:v>L21-S11</x:v>
      </x:c>
      <x:c r="D48" s="13" t="str">
        <x:v>KG01</x:v>
      </x:c>
      <x:c r="E48" s="13" t="n">
        <x:v>21</x:v>
      </x:c>
      <x:c r="F48" s="13" t="n">
        <x:v>11</x:v>
      </x:c>
      <x:c r="G48" s="13" t="n">
        <x:v>2</x:v>
      </x:c>
      <x:c r="H48" s="13" t="str">
        <x:v>Line 21 / Section 11 / Cavity 2</x:v>
      </x:c>
      <x:c r="I48" s="13" t="n">
        <x:v>1</x:v>
      </x:c>
      <x:c r="J48" s="18" t="str">
        <x:f>IF(B48="Line",IF(AND(C48="",F48="",G48=""),"OK","CHECK"),IF(B48="Section",IF(AND(C48="L"&amp;E48,F48&gt;=1,F48&lt;=13,G48=""),"OK","CHECK"),IF(B48="Cavity",IF(AND(C48="L"&amp;E48&amp;"-S"&amp;TEXT(F48,"00"),F48&gt;=1,F48&lt;=13,G48&gt;=1,G48&lt;=3),"OK","CHECK"),"CHECK")))</x:f>
        <x:v>OK</x:v>
      </x:c>
    </x:row>
    <x:row r="49">
      <x:c r="A49" s="13" t="str">
        <x:v>L21-S11-C3</x:v>
      </x:c>
      <x:c r="B49" s="13" t="str">
        <x:v>Cavity</x:v>
      </x:c>
      <x:c r="C49" s="13" t="str">
        <x:v>L21-S11</x:v>
      </x:c>
      <x:c r="D49" s="13" t="str">
        <x:v>KG01</x:v>
      </x:c>
      <x:c r="E49" s="13" t="n">
        <x:v>21</x:v>
      </x:c>
      <x:c r="F49" s="13" t="n">
        <x:v>11</x:v>
      </x:c>
      <x:c r="G49" s="13" t="n">
        <x:v>3</x:v>
      </x:c>
      <x:c r="H49" s="13" t="str">
        <x:v>Line 21 / Section 11 / Cavity 3</x:v>
      </x:c>
      <x:c r="I49" s="13" t="n">
        <x:v>1</x:v>
      </x:c>
      <x:c r="J49" s="18" t="str">
        <x:f>IF(B49="Line",IF(AND(C49="",F49="",G49=""),"OK","CHECK"),IF(B49="Section",IF(AND(C49="L"&amp;E49,F49&gt;=1,F49&lt;=13,G49=""),"OK","CHECK"),IF(B49="Cavity",IF(AND(C49="L"&amp;E49&amp;"-S"&amp;TEXT(F49,"00"),F49&gt;=1,F49&lt;=13,G49&gt;=1,G49&lt;=3),"OK","CHECK"),"CHECK")))</x:f>
        <x:v>OK</x:v>
      </x:c>
    </x:row>
    <x:row r="50">
      <x:c r="A50" s="13" t="str">
        <x:v>L21-S12</x:v>
      </x:c>
      <x:c r="B50" s="13" t="str">
        <x:v>Section</x:v>
      </x:c>
      <x:c r="C50" s="13" t="str">
        <x:v>L21</x:v>
      </x:c>
      <x:c r="D50" s="13" t="str">
        <x:v>KG01</x:v>
      </x:c>
      <x:c r="E50" s="13" t="n">
        <x:v>21</x:v>
      </x:c>
      <x:c r="F50" s="13" t="n">
        <x:v>12</x:v>
      </x:c>
      <x:c r="G50" s="13"/>
      <x:c r="H50" s="13" t="str">
        <x:v>Line 21 / Section 12</x:v>
      </x:c>
      <x:c r="I50" s="13" t="n">
        <x:v>1</x:v>
      </x:c>
      <x:c r="J50" s="18" t="str">
        <x:f>IF(B50="Line",IF(AND(C50="",F50="",G50=""),"OK","CHECK"),IF(B50="Section",IF(AND(C50="L"&amp;E50,F50&gt;=1,F50&lt;=13,G50=""),"OK","CHECK"),IF(B50="Cavity",IF(AND(C50="L"&amp;E50&amp;"-S"&amp;TEXT(F50,"00"),F50&gt;=1,F50&lt;=13,G50&gt;=1,G50&lt;=3),"OK","CHECK"),"CHECK")))</x:f>
        <x:v>OK</x:v>
      </x:c>
    </x:row>
    <x:row r="51">
      <x:c r="A51" s="13" t="str">
        <x:v>L21-S12-C1</x:v>
      </x:c>
      <x:c r="B51" s="13" t="str">
        <x:v>Cavity</x:v>
      </x:c>
      <x:c r="C51" s="13" t="str">
        <x:v>L21-S12</x:v>
      </x:c>
      <x:c r="D51" s="13" t="str">
        <x:v>KG01</x:v>
      </x:c>
      <x:c r="E51" s="13" t="n">
        <x:v>21</x:v>
      </x:c>
      <x:c r="F51" s="13" t="n">
        <x:v>12</x:v>
      </x:c>
      <x:c r="G51" s="13" t="n">
        <x:v>1</x:v>
      </x:c>
      <x:c r="H51" s="13" t="str">
        <x:v>Line 21 / Section 12 / Cavity 1</x:v>
      </x:c>
      <x:c r="I51" s="13" t="n">
        <x:v>1</x:v>
      </x:c>
      <x:c r="J51" s="18" t="str">
        <x:f>IF(B51="Line",IF(AND(C51="",F51="",G51=""),"OK","CHECK"),IF(B51="Section",IF(AND(C51="L"&amp;E51,F51&gt;=1,F51&lt;=13,G51=""),"OK","CHECK"),IF(B51="Cavity",IF(AND(C51="L"&amp;E51&amp;"-S"&amp;TEXT(F51,"00"),F51&gt;=1,F51&lt;=13,G51&gt;=1,G51&lt;=3),"OK","CHECK"),"CHECK")))</x:f>
        <x:v>OK</x:v>
      </x:c>
    </x:row>
    <x:row r="52">
      <x:c r="A52" s="13" t="str">
        <x:v>L21-S12-C2</x:v>
      </x:c>
      <x:c r="B52" s="13" t="str">
        <x:v>Cavity</x:v>
      </x:c>
      <x:c r="C52" s="13" t="str">
        <x:v>L21-S12</x:v>
      </x:c>
      <x:c r="D52" s="13" t="str">
        <x:v>KG01</x:v>
      </x:c>
      <x:c r="E52" s="13" t="n">
        <x:v>21</x:v>
      </x:c>
      <x:c r="F52" s="13" t="n">
        <x:v>12</x:v>
      </x:c>
      <x:c r="G52" s="13" t="n">
        <x:v>2</x:v>
      </x:c>
      <x:c r="H52" s="13" t="str">
        <x:v>Line 21 / Section 12 / Cavity 2</x:v>
      </x:c>
      <x:c r="I52" s="13" t="n">
        <x:v>1</x:v>
      </x:c>
      <x:c r="J52" s="18" t="str">
        <x:f>IF(B52="Line",IF(AND(C52="",F52="",G52=""),"OK","CHECK"),IF(B52="Section",IF(AND(C52="L"&amp;E52,F52&gt;=1,F52&lt;=13,G52=""),"OK","CHECK"),IF(B52="Cavity",IF(AND(C52="L"&amp;E52&amp;"-S"&amp;TEXT(F52,"00"),F52&gt;=1,F52&lt;=13,G52&gt;=1,G52&lt;=3),"OK","CHECK"),"CHECK")))</x:f>
        <x:v>OK</x:v>
      </x:c>
    </x:row>
    <x:row r="53">
      <x:c r="A53" s="13" t="str">
        <x:v>L21-S12-C3</x:v>
      </x:c>
      <x:c r="B53" s="13" t="str">
        <x:v>Cavity</x:v>
      </x:c>
      <x:c r="C53" s="13" t="str">
        <x:v>L21-S12</x:v>
      </x:c>
      <x:c r="D53" s="13" t="str">
        <x:v>KG01</x:v>
      </x:c>
      <x:c r="E53" s="13" t="n">
        <x:v>21</x:v>
      </x:c>
      <x:c r="F53" s="13" t="n">
        <x:v>12</x:v>
      </x:c>
      <x:c r="G53" s="13" t="n">
        <x:v>3</x:v>
      </x:c>
      <x:c r="H53" s="13" t="str">
        <x:v>Line 21 / Section 12 / Cavity 3</x:v>
      </x:c>
      <x:c r="I53" s="13" t="n">
        <x:v>1</x:v>
      </x:c>
      <x:c r="J53" s="18" t="str">
        <x:f>IF(B53="Line",IF(AND(C53="",F53="",G53=""),"OK","CHECK"),IF(B53="Section",IF(AND(C53="L"&amp;E53,F53&gt;=1,F53&lt;=13,G53=""),"OK","CHECK"),IF(B53="Cavity",IF(AND(C53="L"&amp;E53&amp;"-S"&amp;TEXT(F53,"00"),F53&gt;=1,F53&lt;=13,G53&gt;=1,G53&lt;=3),"OK","CHECK"),"CHECK")))</x:f>
        <x:v>OK</x:v>
      </x:c>
    </x:row>
    <x:row r="54">
      <x:c r="A54" s="13" t="str">
        <x:v>L21-S13</x:v>
      </x:c>
      <x:c r="B54" s="13" t="str">
        <x:v>Section</x:v>
      </x:c>
      <x:c r="C54" s="13" t="str">
        <x:v>L21</x:v>
      </x:c>
      <x:c r="D54" s="13" t="str">
        <x:v>KG01</x:v>
      </x:c>
      <x:c r="E54" s="13" t="n">
        <x:v>21</x:v>
      </x:c>
      <x:c r="F54" s="13" t="n">
        <x:v>13</x:v>
      </x:c>
      <x:c r="G54" s="13"/>
      <x:c r="H54" s="13" t="str">
        <x:v>Line 21 / Section 13</x:v>
      </x:c>
      <x:c r="I54" s="13" t="n">
        <x:v>1</x:v>
      </x:c>
      <x:c r="J54" s="18" t="str">
        <x:f>IF(B54="Line",IF(AND(C54="",F54="",G54=""),"OK","CHECK"),IF(B54="Section",IF(AND(C54="L"&amp;E54,F54&gt;=1,F54&lt;=13,G54=""),"OK","CHECK"),IF(B54="Cavity",IF(AND(C54="L"&amp;E54&amp;"-S"&amp;TEXT(F54,"00"),F54&gt;=1,F54&lt;=13,G54&gt;=1,G54&lt;=3),"OK","CHECK"),"CHECK")))</x:f>
        <x:v>OK</x:v>
      </x:c>
    </x:row>
    <x:row r="55">
      <x:c r="A55" s="13" t="str">
        <x:v>L21-S13-C1</x:v>
      </x:c>
      <x:c r="B55" s="13" t="str">
        <x:v>Cavity</x:v>
      </x:c>
      <x:c r="C55" s="13" t="str">
        <x:v>L21-S13</x:v>
      </x:c>
      <x:c r="D55" s="13" t="str">
        <x:v>KG01</x:v>
      </x:c>
      <x:c r="E55" s="13" t="n">
        <x:v>21</x:v>
      </x:c>
      <x:c r="F55" s="13" t="n">
        <x:v>13</x:v>
      </x:c>
      <x:c r="G55" s="13" t="n">
        <x:v>1</x:v>
      </x:c>
      <x:c r="H55" s="13" t="str">
        <x:v>Line 21 / Section 13 / Cavity 1</x:v>
      </x:c>
      <x:c r="I55" s="13" t="n">
        <x:v>1</x:v>
      </x:c>
      <x:c r="J55" s="18" t="str">
        <x:f>IF(B55="Line",IF(AND(C55="",F55="",G55=""),"OK","CHECK"),IF(B55="Section",IF(AND(C55="L"&amp;E55,F55&gt;=1,F55&lt;=13,G55=""),"OK","CHECK"),IF(B55="Cavity",IF(AND(C55="L"&amp;E55&amp;"-S"&amp;TEXT(F55,"00"),F55&gt;=1,F55&lt;=13,G55&gt;=1,G55&lt;=3),"OK","CHECK"),"CHECK")))</x:f>
        <x:v>OK</x:v>
      </x:c>
    </x:row>
    <x:row r="56">
      <x:c r="A56" s="13" t="str">
        <x:v>L21-S13-C2</x:v>
      </x:c>
      <x:c r="B56" s="13" t="str">
        <x:v>Cavity</x:v>
      </x:c>
      <x:c r="C56" s="13" t="str">
        <x:v>L21-S13</x:v>
      </x:c>
      <x:c r="D56" s="13" t="str">
        <x:v>KG01</x:v>
      </x:c>
      <x:c r="E56" s="13" t="n">
        <x:v>21</x:v>
      </x:c>
      <x:c r="F56" s="13" t="n">
        <x:v>13</x:v>
      </x:c>
      <x:c r="G56" s="13" t="n">
        <x:v>2</x:v>
      </x:c>
      <x:c r="H56" s="13" t="str">
        <x:v>Line 21 / Section 13 / Cavity 2</x:v>
      </x:c>
      <x:c r="I56" s="13" t="n">
        <x:v>1</x:v>
      </x:c>
      <x:c r="J56" s="18" t="str">
        <x:f>IF(B56="Line",IF(AND(C56="",F56="",G56=""),"OK","CHECK"),IF(B56="Section",IF(AND(C56="L"&amp;E56,F56&gt;=1,F56&lt;=13,G56=""),"OK","CHECK"),IF(B56="Cavity",IF(AND(C56="L"&amp;E56&amp;"-S"&amp;TEXT(F56,"00"),F56&gt;=1,F56&lt;=13,G56&gt;=1,G56&lt;=3),"OK","CHECK"),"CHECK")))</x:f>
        <x:v>OK</x:v>
      </x:c>
    </x:row>
    <x:row r="57">
      <x:c r="A57" s="13" t="str">
        <x:v>L21-S13-C3</x:v>
      </x:c>
      <x:c r="B57" s="13" t="str">
        <x:v>Cavity</x:v>
      </x:c>
      <x:c r="C57" s="13" t="str">
        <x:v>L21-S13</x:v>
      </x:c>
      <x:c r="D57" s="13" t="str">
        <x:v>KG01</x:v>
      </x:c>
      <x:c r="E57" s="13" t="n">
        <x:v>21</x:v>
      </x:c>
      <x:c r="F57" s="13" t="n">
        <x:v>13</x:v>
      </x:c>
      <x:c r="G57" s="13" t="n">
        <x:v>3</x:v>
      </x:c>
      <x:c r="H57" s="13" t="str">
        <x:v>Line 21 / Section 13 / Cavity 3</x:v>
      </x:c>
      <x:c r="I57" s="13" t="n">
        <x:v>1</x:v>
      </x:c>
      <x:c r="J57" s="18" t="str">
        <x:f>IF(B57="Line",IF(AND(C57="",F57="",G57=""),"OK","CHECK"),IF(B57="Section",IF(AND(C57="L"&amp;E57,F57&gt;=1,F57&lt;=13,G57=""),"OK","CHECK"),IF(B57="Cavity",IF(AND(C57="L"&amp;E57&amp;"-S"&amp;TEXT(F57,"00"),F57&gt;=1,F57&lt;=13,G57&gt;=1,G57&lt;=3),"OK","CHECK"),"CHECK")))</x:f>
        <x:v>OK</x:v>
      </x:c>
    </x:row>
    <x:row r="58">
      <x:c r="A58" s="13" t="str">
        <x:v>L22</x:v>
      </x:c>
      <x:c r="B58" s="13" t="str">
        <x:v>Line</x:v>
      </x:c>
      <x:c r="C58" s="13"/>
      <x:c r="D58" s="13" t="str">
        <x:v>KG01</x:v>
      </x:c>
      <x:c r="E58" s="13" t="n">
        <x:v>22</x:v>
      </x:c>
      <x:c r="F58" s="13"/>
      <x:c r="G58" s="13"/>
      <x:c r="H58" s="13" t="str">
        <x:v>Line 22</x:v>
      </x:c>
      <x:c r="I58" s="13" t="n">
        <x:v>1</x:v>
      </x:c>
      <x:c r="J58" s="18" t="str">
        <x:f>IF(B58="Line",IF(AND(C58="",F58="",G58=""),"OK","CHECK"),IF(B58="Section",IF(AND(C58="L"&amp;E58,F58&gt;=1,F58&lt;=13,G58=""),"OK","CHECK"),IF(B58="Cavity",IF(AND(C58="L"&amp;E58&amp;"-S"&amp;TEXT(F58,"00"),F58&gt;=1,F58&lt;=13,G58&gt;=1,G58&lt;=3),"OK","CHECK"),"CHECK")))</x:f>
        <x:v>OK</x:v>
      </x:c>
    </x:row>
    <x:row r="59">
      <x:c r="A59" s="13" t="str">
        <x:v>L22-S01</x:v>
      </x:c>
      <x:c r="B59" s="13" t="str">
        <x:v>Section</x:v>
      </x:c>
      <x:c r="C59" s="13" t="str">
        <x:v>L22</x:v>
      </x:c>
      <x:c r="D59" s="13" t="str">
        <x:v>KG01</x:v>
      </x:c>
      <x:c r="E59" s="13" t="n">
        <x:v>22</x:v>
      </x:c>
      <x:c r="F59" s="13" t="n">
        <x:v>1</x:v>
      </x:c>
      <x:c r="G59" s="13"/>
      <x:c r="H59" s="13" t="str">
        <x:v>Line 22 / Section 01</x:v>
      </x:c>
      <x:c r="I59" s="13" t="n">
        <x:v>1</x:v>
      </x:c>
      <x:c r="J59" s="18" t="str">
        <x:f>IF(B59="Line",IF(AND(C59="",F59="",G59=""),"OK","CHECK"),IF(B59="Section",IF(AND(C59="L"&amp;E59,F59&gt;=1,F59&lt;=13,G59=""),"OK","CHECK"),IF(B59="Cavity",IF(AND(C59="L"&amp;E59&amp;"-S"&amp;TEXT(F59,"00"),F59&gt;=1,F59&lt;=13,G59&gt;=1,G59&lt;=3),"OK","CHECK"),"CHECK")))</x:f>
        <x:v>OK</x:v>
      </x:c>
    </x:row>
    <x:row r="60">
      <x:c r="A60" s="13" t="str">
        <x:v>L22-S01-C1</x:v>
      </x:c>
      <x:c r="B60" s="13" t="str">
        <x:v>Cavity</x:v>
      </x:c>
      <x:c r="C60" s="13" t="str">
        <x:v>L22-S01</x:v>
      </x:c>
      <x:c r="D60" s="13" t="str">
        <x:v>KG01</x:v>
      </x:c>
      <x:c r="E60" s="13" t="n">
        <x:v>22</x:v>
      </x:c>
      <x:c r="F60" s="13" t="n">
        <x:v>1</x:v>
      </x:c>
      <x:c r="G60" s="13" t="n">
        <x:v>1</x:v>
      </x:c>
      <x:c r="H60" s="13" t="str">
        <x:v>Line 22 / Section 01 / Cavity 1</x:v>
      </x:c>
      <x:c r="I60" s="13" t="n">
        <x:v>1</x:v>
      </x:c>
      <x:c r="J60" s="18" t="str">
        <x:f>IF(B60="Line",IF(AND(C60="",F60="",G60=""),"OK","CHECK"),IF(B60="Section",IF(AND(C60="L"&amp;E60,F60&gt;=1,F60&lt;=13,G60=""),"OK","CHECK"),IF(B60="Cavity",IF(AND(C60="L"&amp;E60&amp;"-S"&amp;TEXT(F60,"00"),F60&gt;=1,F60&lt;=13,G60&gt;=1,G60&lt;=3),"OK","CHECK"),"CHECK")))</x:f>
        <x:v>OK</x:v>
      </x:c>
    </x:row>
    <x:row r="61">
      <x:c r="A61" s="13" t="str">
        <x:v>L22-S01-C2</x:v>
      </x:c>
      <x:c r="B61" s="13" t="str">
        <x:v>Cavity</x:v>
      </x:c>
      <x:c r="C61" s="13" t="str">
        <x:v>L22-S01</x:v>
      </x:c>
      <x:c r="D61" s="13" t="str">
        <x:v>KG01</x:v>
      </x:c>
      <x:c r="E61" s="13" t="n">
        <x:v>22</x:v>
      </x:c>
      <x:c r="F61" s="13" t="n">
        <x:v>1</x:v>
      </x:c>
      <x:c r="G61" s="13" t="n">
        <x:v>2</x:v>
      </x:c>
      <x:c r="H61" s="13" t="str">
        <x:v>Line 22 / Section 01 / Cavity 2</x:v>
      </x:c>
      <x:c r="I61" s="13" t="n">
        <x:v>1</x:v>
      </x:c>
      <x:c r="J61" s="18" t="str">
        <x:f>IF(B61="Line",IF(AND(C61="",F61="",G61=""),"OK","CHECK"),IF(B61="Section",IF(AND(C61="L"&amp;E61,F61&gt;=1,F61&lt;=13,G61=""),"OK","CHECK"),IF(B61="Cavity",IF(AND(C61="L"&amp;E61&amp;"-S"&amp;TEXT(F61,"00"),F61&gt;=1,F61&lt;=13,G61&gt;=1,G61&lt;=3),"OK","CHECK"),"CHECK")))</x:f>
        <x:v>OK</x:v>
      </x:c>
    </x:row>
    <x:row r="62">
      <x:c r="A62" s="13" t="str">
        <x:v>L22-S01-C3</x:v>
      </x:c>
      <x:c r="B62" s="13" t="str">
        <x:v>Cavity</x:v>
      </x:c>
      <x:c r="C62" s="13" t="str">
        <x:v>L22-S01</x:v>
      </x:c>
      <x:c r="D62" s="13" t="str">
        <x:v>KG01</x:v>
      </x:c>
      <x:c r="E62" s="13" t="n">
        <x:v>22</x:v>
      </x:c>
      <x:c r="F62" s="13" t="n">
        <x:v>1</x:v>
      </x:c>
      <x:c r="G62" s="13" t="n">
        <x:v>3</x:v>
      </x:c>
      <x:c r="H62" s="13" t="str">
        <x:v>Line 22 / Section 01 / Cavity 3</x:v>
      </x:c>
      <x:c r="I62" s="13" t="n">
        <x:v>1</x:v>
      </x:c>
      <x:c r="J62" s="18" t="str">
        <x:f>IF(B62="Line",IF(AND(C62="",F62="",G62=""),"OK","CHECK"),IF(B62="Section",IF(AND(C62="L"&amp;E62,F62&gt;=1,F62&lt;=13,G62=""),"OK","CHECK"),IF(B62="Cavity",IF(AND(C62="L"&amp;E62&amp;"-S"&amp;TEXT(F62,"00"),F62&gt;=1,F62&lt;=13,G62&gt;=1,G62&lt;=3),"OK","CHECK"),"CHECK")))</x:f>
        <x:v>OK</x:v>
      </x:c>
    </x:row>
    <x:row r="63">
      <x:c r="A63" s="13" t="str">
        <x:v>L22-S02</x:v>
      </x:c>
      <x:c r="B63" s="13" t="str">
        <x:v>Section</x:v>
      </x:c>
      <x:c r="C63" s="13" t="str">
        <x:v>L22</x:v>
      </x:c>
      <x:c r="D63" s="13" t="str">
        <x:v>KG01</x:v>
      </x:c>
      <x:c r="E63" s="13" t="n">
        <x:v>22</x:v>
      </x:c>
      <x:c r="F63" s="13" t="n">
        <x:v>2</x:v>
      </x:c>
      <x:c r="G63" s="13"/>
      <x:c r="H63" s="13" t="str">
        <x:v>Line 22 / Section 02</x:v>
      </x:c>
      <x:c r="I63" s="13" t="n">
        <x:v>1</x:v>
      </x:c>
      <x:c r="J63" s="18" t="str">
        <x:f>IF(B63="Line",IF(AND(C63="",F63="",G63=""),"OK","CHECK"),IF(B63="Section",IF(AND(C63="L"&amp;E63,F63&gt;=1,F63&lt;=13,G63=""),"OK","CHECK"),IF(B63="Cavity",IF(AND(C63="L"&amp;E63&amp;"-S"&amp;TEXT(F63,"00"),F63&gt;=1,F63&lt;=13,G63&gt;=1,G63&lt;=3),"OK","CHECK"),"CHECK")))</x:f>
        <x:v>OK</x:v>
      </x:c>
    </x:row>
    <x:row r="64">
      <x:c r="A64" s="13" t="str">
        <x:v>L22-S02-C1</x:v>
      </x:c>
      <x:c r="B64" s="13" t="str">
        <x:v>Cavity</x:v>
      </x:c>
      <x:c r="C64" s="13" t="str">
        <x:v>L22-S02</x:v>
      </x:c>
      <x:c r="D64" s="13" t="str">
        <x:v>KG01</x:v>
      </x:c>
      <x:c r="E64" s="13" t="n">
        <x:v>22</x:v>
      </x:c>
      <x:c r="F64" s="13" t="n">
        <x:v>2</x:v>
      </x:c>
      <x:c r="G64" s="13" t="n">
        <x:v>1</x:v>
      </x:c>
      <x:c r="H64" s="13" t="str">
        <x:v>Line 22 / Section 02 / Cavity 1</x:v>
      </x:c>
      <x:c r="I64" s="13" t="n">
        <x:v>1</x:v>
      </x:c>
      <x:c r="J64" s="18" t="str">
        <x:f>IF(B64="Line",IF(AND(C64="",F64="",G64=""),"OK","CHECK"),IF(B64="Section",IF(AND(C64="L"&amp;E64,F64&gt;=1,F64&lt;=13,G64=""),"OK","CHECK"),IF(B64="Cavity",IF(AND(C64="L"&amp;E64&amp;"-S"&amp;TEXT(F64,"00"),F64&gt;=1,F64&lt;=13,G64&gt;=1,G64&lt;=3),"OK","CHECK"),"CHECK")))</x:f>
        <x:v>OK</x:v>
      </x:c>
    </x:row>
    <x:row r="65">
      <x:c r="A65" s="13" t="str">
        <x:v>L22-S02-C2</x:v>
      </x:c>
      <x:c r="B65" s="13" t="str">
        <x:v>Cavity</x:v>
      </x:c>
      <x:c r="C65" s="13" t="str">
        <x:v>L22-S02</x:v>
      </x:c>
      <x:c r="D65" s="13" t="str">
        <x:v>KG01</x:v>
      </x:c>
      <x:c r="E65" s="13" t="n">
        <x:v>22</x:v>
      </x:c>
      <x:c r="F65" s="13" t="n">
        <x:v>2</x:v>
      </x:c>
      <x:c r="G65" s="13" t="n">
        <x:v>2</x:v>
      </x:c>
      <x:c r="H65" s="13" t="str">
        <x:v>Line 22 / Section 02 / Cavity 2</x:v>
      </x:c>
      <x:c r="I65" s="13" t="n">
        <x:v>1</x:v>
      </x:c>
      <x:c r="J65" s="18" t="str">
        <x:f>IF(B65="Line",IF(AND(C65="",F65="",G65=""),"OK","CHECK"),IF(B65="Section",IF(AND(C65="L"&amp;E65,F65&gt;=1,F65&lt;=13,G65=""),"OK","CHECK"),IF(B65="Cavity",IF(AND(C65="L"&amp;E65&amp;"-S"&amp;TEXT(F65,"00"),F65&gt;=1,F65&lt;=13,G65&gt;=1,G65&lt;=3),"OK","CHECK"),"CHECK")))</x:f>
        <x:v>OK</x:v>
      </x:c>
    </x:row>
    <x:row r="66">
      <x:c r="A66" s="13" t="str">
        <x:v>L22-S02-C3</x:v>
      </x:c>
      <x:c r="B66" s="13" t="str">
        <x:v>Cavity</x:v>
      </x:c>
      <x:c r="C66" s="13" t="str">
        <x:v>L22-S02</x:v>
      </x:c>
      <x:c r="D66" s="13" t="str">
        <x:v>KG01</x:v>
      </x:c>
      <x:c r="E66" s="13" t="n">
        <x:v>22</x:v>
      </x:c>
      <x:c r="F66" s="13" t="n">
        <x:v>2</x:v>
      </x:c>
      <x:c r="G66" s="13" t="n">
        <x:v>3</x:v>
      </x:c>
      <x:c r="H66" s="13" t="str">
        <x:v>Line 22 / Section 02 / Cavity 3</x:v>
      </x:c>
      <x:c r="I66" s="13" t="n">
        <x:v>1</x:v>
      </x:c>
      <x:c r="J66" s="18" t="str">
        <x:f>IF(B66="Line",IF(AND(C66="",F66="",G66=""),"OK","CHECK"),IF(B66="Section",IF(AND(C66="L"&amp;E66,F66&gt;=1,F66&lt;=13,G66=""),"OK","CHECK"),IF(B66="Cavity",IF(AND(C66="L"&amp;E66&amp;"-S"&amp;TEXT(F66,"00"),F66&gt;=1,F66&lt;=13,G66&gt;=1,G66&lt;=3),"OK","CHECK"),"CHECK")))</x:f>
        <x:v>OK</x:v>
      </x:c>
    </x:row>
    <x:row r="67">
      <x:c r="A67" s="13" t="str">
        <x:v>L22-S03</x:v>
      </x:c>
      <x:c r="B67" s="13" t="str">
        <x:v>Section</x:v>
      </x:c>
      <x:c r="C67" s="13" t="str">
        <x:v>L22</x:v>
      </x:c>
      <x:c r="D67" s="13" t="str">
        <x:v>KG01</x:v>
      </x:c>
      <x:c r="E67" s="13" t="n">
        <x:v>22</x:v>
      </x:c>
      <x:c r="F67" s="13" t="n">
        <x:v>3</x:v>
      </x:c>
      <x:c r="G67" s="13"/>
      <x:c r="H67" s="13" t="str">
        <x:v>Line 22 / Section 03</x:v>
      </x:c>
      <x:c r="I67" s="13" t="n">
        <x:v>1</x:v>
      </x:c>
      <x:c r="J67" s="18" t="str">
        <x:f>IF(B67="Line",IF(AND(C67="",F67="",G67=""),"OK","CHECK"),IF(B67="Section",IF(AND(C67="L"&amp;E67,F67&gt;=1,F67&lt;=13,G67=""),"OK","CHECK"),IF(B67="Cavity",IF(AND(C67="L"&amp;E67&amp;"-S"&amp;TEXT(F67,"00"),F67&gt;=1,F67&lt;=13,G67&gt;=1,G67&lt;=3),"OK","CHECK"),"CHECK")))</x:f>
        <x:v>OK</x:v>
      </x:c>
    </x:row>
    <x:row r="68">
      <x:c r="A68" s="13" t="str">
        <x:v>L22-S03-C1</x:v>
      </x:c>
      <x:c r="B68" s="13" t="str">
        <x:v>Cavity</x:v>
      </x:c>
      <x:c r="C68" s="13" t="str">
        <x:v>L22-S03</x:v>
      </x:c>
      <x:c r="D68" s="13" t="str">
        <x:v>KG01</x:v>
      </x:c>
      <x:c r="E68" s="13" t="n">
        <x:v>22</x:v>
      </x:c>
      <x:c r="F68" s="13" t="n">
        <x:v>3</x:v>
      </x:c>
      <x:c r="G68" s="13" t="n">
        <x:v>1</x:v>
      </x:c>
      <x:c r="H68" s="13" t="str">
        <x:v>Line 22 / Section 03 / Cavity 1</x:v>
      </x:c>
      <x:c r="I68" s="13" t="n">
        <x:v>1</x:v>
      </x:c>
      <x:c r="J68" s="18" t="str">
        <x:f>IF(B68="Line",IF(AND(C68="",F68="",G68=""),"OK","CHECK"),IF(B68="Section",IF(AND(C68="L"&amp;E68,F68&gt;=1,F68&lt;=13,G68=""),"OK","CHECK"),IF(B68="Cavity",IF(AND(C68="L"&amp;E68&amp;"-S"&amp;TEXT(F68,"00"),F68&gt;=1,F68&lt;=13,G68&gt;=1,G68&lt;=3),"OK","CHECK"),"CHECK")))</x:f>
        <x:v>OK</x:v>
      </x:c>
    </x:row>
    <x:row r="69">
      <x:c r="A69" s="13" t="str">
        <x:v>L22-S03-C2</x:v>
      </x:c>
      <x:c r="B69" s="13" t="str">
        <x:v>Cavity</x:v>
      </x:c>
      <x:c r="C69" s="13" t="str">
        <x:v>L22-S03</x:v>
      </x:c>
      <x:c r="D69" s="13" t="str">
        <x:v>KG01</x:v>
      </x:c>
      <x:c r="E69" s="13" t="n">
        <x:v>22</x:v>
      </x:c>
      <x:c r="F69" s="13" t="n">
        <x:v>3</x:v>
      </x:c>
      <x:c r="G69" s="13" t="n">
        <x:v>2</x:v>
      </x:c>
      <x:c r="H69" s="13" t="str">
        <x:v>Line 22 / Section 03 / Cavity 2</x:v>
      </x:c>
      <x:c r="I69" s="13" t="n">
        <x:v>1</x:v>
      </x:c>
      <x:c r="J69" s="18" t="str">
        <x:f>IF(B69="Line",IF(AND(C69="",F69="",G69=""),"OK","CHECK"),IF(B69="Section",IF(AND(C69="L"&amp;E69,F69&gt;=1,F69&lt;=13,G69=""),"OK","CHECK"),IF(B69="Cavity",IF(AND(C69="L"&amp;E69&amp;"-S"&amp;TEXT(F69,"00"),F69&gt;=1,F69&lt;=13,G69&gt;=1,G69&lt;=3),"OK","CHECK"),"CHECK")))</x:f>
        <x:v>OK</x:v>
      </x:c>
    </x:row>
    <x:row r="70">
      <x:c r="A70" s="13" t="str">
        <x:v>L22-S03-C3</x:v>
      </x:c>
      <x:c r="B70" s="13" t="str">
        <x:v>Cavity</x:v>
      </x:c>
      <x:c r="C70" s="13" t="str">
        <x:v>L22-S03</x:v>
      </x:c>
      <x:c r="D70" s="13" t="str">
        <x:v>KG01</x:v>
      </x:c>
      <x:c r="E70" s="13" t="n">
        <x:v>22</x:v>
      </x:c>
      <x:c r="F70" s="13" t="n">
        <x:v>3</x:v>
      </x:c>
      <x:c r="G70" s="13" t="n">
        <x:v>3</x:v>
      </x:c>
      <x:c r="H70" s="13" t="str">
        <x:v>Line 22 / Section 03 / Cavity 3</x:v>
      </x:c>
      <x:c r="I70" s="13" t="n">
        <x:v>1</x:v>
      </x:c>
      <x:c r="J70" s="18" t="str">
        <x:f>IF(B70="Line",IF(AND(C70="",F70="",G70=""),"OK","CHECK"),IF(B70="Section",IF(AND(C70="L"&amp;E70,F70&gt;=1,F70&lt;=13,G70=""),"OK","CHECK"),IF(B70="Cavity",IF(AND(C70="L"&amp;E70&amp;"-S"&amp;TEXT(F70,"00"),F70&gt;=1,F70&lt;=13,G70&gt;=1,G70&lt;=3),"OK","CHECK"),"CHECK")))</x:f>
        <x:v>OK</x:v>
      </x:c>
    </x:row>
    <x:row r="71">
      <x:c r="A71" s="13" t="str">
        <x:v>L22-S04</x:v>
      </x:c>
      <x:c r="B71" s="13" t="str">
        <x:v>Section</x:v>
      </x:c>
      <x:c r="C71" s="13" t="str">
        <x:v>L22</x:v>
      </x:c>
      <x:c r="D71" s="13" t="str">
        <x:v>KG01</x:v>
      </x:c>
      <x:c r="E71" s="13" t="n">
        <x:v>22</x:v>
      </x:c>
      <x:c r="F71" s="13" t="n">
        <x:v>4</x:v>
      </x:c>
      <x:c r="G71" s="13"/>
      <x:c r="H71" s="13" t="str">
        <x:v>Line 22 / Section 04</x:v>
      </x:c>
      <x:c r="I71" s="13" t="n">
        <x:v>1</x:v>
      </x:c>
      <x:c r="J71" s="18" t="str">
        <x:f>IF(B71="Line",IF(AND(C71="",F71="",G71=""),"OK","CHECK"),IF(B71="Section",IF(AND(C71="L"&amp;E71,F71&gt;=1,F71&lt;=13,G71=""),"OK","CHECK"),IF(B71="Cavity",IF(AND(C71="L"&amp;E71&amp;"-S"&amp;TEXT(F71,"00"),F71&gt;=1,F71&lt;=13,G71&gt;=1,G71&lt;=3),"OK","CHECK"),"CHECK")))</x:f>
        <x:v>OK</x:v>
      </x:c>
    </x:row>
    <x:row r="72">
      <x:c r="A72" s="13" t="str">
        <x:v>L22-S04-C1</x:v>
      </x:c>
      <x:c r="B72" s="13" t="str">
        <x:v>Cavity</x:v>
      </x:c>
      <x:c r="C72" s="13" t="str">
        <x:v>L22-S04</x:v>
      </x:c>
      <x:c r="D72" s="13" t="str">
        <x:v>KG01</x:v>
      </x:c>
      <x:c r="E72" s="13" t="n">
        <x:v>22</x:v>
      </x:c>
      <x:c r="F72" s="13" t="n">
        <x:v>4</x:v>
      </x:c>
      <x:c r="G72" s="13" t="n">
        <x:v>1</x:v>
      </x:c>
      <x:c r="H72" s="13" t="str">
        <x:v>Line 22 / Section 04 / Cavity 1</x:v>
      </x:c>
      <x:c r="I72" s="13" t="n">
        <x:v>1</x:v>
      </x:c>
      <x:c r="J72" s="18" t="str">
        <x:f>IF(B72="Line",IF(AND(C72="",F72="",G72=""),"OK","CHECK"),IF(B72="Section",IF(AND(C72="L"&amp;E72,F72&gt;=1,F72&lt;=13,G72=""),"OK","CHECK"),IF(B72="Cavity",IF(AND(C72="L"&amp;E72&amp;"-S"&amp;TEXT(F72,"00"),F72&gt;=1,F72&lt;=13,G72&gt;=1,G72&lt;=3),"OK","CHECK"),"CHECK")))</x:f>
        <x:v>OK</x:v>
      </x:c>
    </x:row>
    <x:row r="73">
      <x:c r="A73" s="13" t="str">
        <x:v>L22-S04-C2</x:v>
      </x:c>
      <x:c r="B73" s="13" t="str">
        <x:v>Cavity</x:v>
      </x:c>
      <x:c r="C73" s="13" t="str">
        <x:v>L22-S04</x:v>
      </x:c>
      <x:c r="D73" s="13" t="str">
        <x:v>KG01</x:v>
      </x:c>
      <x:c r="E73" s="13" t="n">
        <x:v>22</x:v>
      </x:c>
      <x:c r="F73" s="13" t="n">
        <x:v>4</x:v>
      </x:c>
      <x:c r="G73" s="13" t="n">
        <x:v>2</x:v>
      </x:c>
      <x:c r="H73" s="13" t="str">
        <x:v>Line 22 / Section 04 / Cavity 2</x:v>
      </x:c>
      <x:c r="I73" s="13" t="n">
        <x:v>1</x:v>
      </x:c>
      <x:c r="J73" s="18" t="str">
        <x:f>IF(B73="Line",IF(AND(C73="",F73="",G73=""),"OK","CHECK"),IF(B73="Section",IF(AND(C73="L"&amp;E73,F73&gt;=1,F73&lt;=13,G73=""),"OK","CHECK"),IF(B73="Cavity",IF(AND(C73="L"&amp;E73&amp;"-S"&amp;TEXT(F73,"00"),F73&gt;=1,F73&lt;=13,G73&gt;=1,G73&lt;=3),"OK","CHECK"),"CHECK")))</x:f>
        <x:v>OK</x:v>
      </x:c>
    </x:row>
    <x:row r="74">
      <x:c r="A74" s="13" t="str">
        <x:v>L22-S04-C3</x:v>
      </x:c>
      <x:c r="B74" s="13" t="str">
        <x:v>Cavity</x:v>
      </x:c>
      <x:c r="C74" s="13" t="str">
        <x:v>L22-S04</x:v>
      </x:c>
      <x:c r="D74" s="13" t="str">
        <x:v>KG01</x:v>
      </x:c>
      <x:c r="E74" s="13" t="n">
        <x:v>22</x:v>
      </x:c>
      <x:c r="F74" s="13" t="n">
        <x:v>4</x:v>
      </x:c>
      <x:c r="G74" s="13" t="n">
        <x:v>3</x:v>
      </x:c>
      <x:c r="H74" s="13" t="str">
        <x:v>Line 22 / Section 04 / Cavity 3</x:v>
      </x:c>
      <x:c r="I74" s="13" t="n">
        <x:v>1</x:v>
      </x:c>
      <x:c r="J74" s="18" t="str">
        <x:f>IF(B74="Line",IF(AND(C74="",F74="",G74=""),"OK","CHECK"),IF(B74="Section",IF(AND(C74="L"&amp;E74,F74&gt;=1,F74&lt;=13,G74=""),"OK","CHECK"),IF(B74="Cavity",IF(AND(C74="L"&amp;E74&amp;"-S"&amp;TEXT(F74,"00"),F74&gt;=1,F74&lt;=13,G74&gt;=1,G74&lt;=3),"OK","CHECK"),"CHECK")))</x:f>
        <x:v>OK</x:v>
      </x:c>
    </x:row>
    <x:row r="75">
      <x:c r="A75" s="13" t="str">
        <x:v>L22-S05</x:v>
      </x:c>
      <x:c r="B75" s="13" t="str">
        <x:v>Section</x:v>
      </x:c>
      <x:c r="C75" s="13" t="str">
        <x:v>L22</x:v>
      </x:c>
      <x:c r="D75" s="13" t="str">
        <x:v>KG01</x:v>
      </x:c>
      <x:c r="E75" s="13" t="n">
        <x:v>22</x:v>
      </x:c>
      <x:c r="F75" s="13" t="n">
        <x:v>5</x:v>
      </x:c>
      <x:c r="G75" s="13"/>
      <x:c r="H75" s="13" t="str">
        <x:v>Line 22 / Section 05</x:v>
      </x:c>
      <x:c r="I75" s="13" t="n">
        <x:v>1</x:v>
      </x:c>
      <x:c r="J75" s="18" t="str">
        <x:f>IF(B75="Line",IF(AND(C75="",F75="",G75=""),"OK","CHECK"),IF(B75="Section",IF(AND(C75="L"&amp;E75,F75&gt;=1,F75&lt;=13,G75=""),"OK","CHECK"),IF(B75="Cavity",IF(AND(C75="L"&amp;E75&amp;"-S"&amp;TEXT(F75,"00"),F75&gt;=1,F75&lt;=13,G75&gt;=1,G75&lt;=3),"OK","CHECK"),"CHECK")))</x:f>
        <x:v>OK</x:v>
      </x:c>
    </x:row>
    <x:row r="76">
      <x:c r="A76" s="13" t="str">
        <x:v>L22-S05-C1</x:v>
      </x:c>
      <x:c r="B76" s="13" t="str">
        <x:v>Cavity</x:v>
      </x:c>
      <x:c r="C76" s="13" t="str">
        <x:v>L22-S05</x:v>
      </x:c>
      <x:c r="D76" s="13" t="str">
        <x:v>KG01</x:v>
      </x:c>
      <x:c r="E76" s="13" t="n">
        <x:v>22</x:v>
      </x:c>
      <x:c r="F76" s="13" t="n">
        <x:v>5</x:v>
      </x:c>
      <x:c r="G76" s="13" t="n">
        <x:v>1</x:v>
      </x:c>
      <x:c r="H76" s="13" t="str">
        <x:v>Line 22 / Section 05 / Cavity 1</x:v>
      </x:c>
      <x:c r="I76" s="13" t="n">
        <x:v>1</x:v>
      </x:c>
      <x:c r="J76" s="18" t="str">
        <x:f>IF(B76="Line",IF(AND(C76="",F76="",G76=""),"OK","CHECK"),IF(B76="Section",IF(AND(C76="L"&amp;E76,F76&gt;=1,F76&lt;=13,G76=""),"OK","CHECK"),IF(B76="Cavity",IF(AND(C76="L"&amp;E76&amp;"-S"&amp;TEXT(F76,"00"),F76&gt;=1,F76&lt;=13,G76&gt;=1,G76&lt;=3),"OK","CHECK"),"CHECK")))</x:f>
        <x:v>OK</x:v>
      </x:c>
    </x:row>
    <x:row r="77">
      <x:c r="A77" s="13" t="str">
        <x:v>L22-S05-C2</x:v>
      </x:c>
      <x:c r="B77" s="13" t="str">
        <x:v>Cavity</x:v>
      </x:c>
      <x:c r="C77" s="13" t="str">
        <x:v>L22-S05</x:v>
      </x:c>
      <x:c r="D77" s="13" t="str">
        <x:v>KG01</x:v>
      </x:c>
      <x:c r="E77" s="13" t="n">
        <x:v>22</x:v>
      </x:c>
      <x:c r="F77" s="13" t="n">
        <x:v>5</x:v>
      </x:c>
      <x:c r="G77" s="13" t="n">
        <x:v>2</x:v>
      </x:c>
      <x:c r="H77" s="13" t="str">
        <x:v>Line 22 / Section 05 / Cavity 2</x:v>
      </x:c>
      <x:c r="I77" s="13" t="n">
        <x:v>1</x:v>
      </x:c>
      <x:c r="J77" s="18" t="str">
        <x:f>IF(B77="Line",IF(AND(C77="",F77="",G77=""),"OK","CHECK"),IF(B77="Section",IF(AND(C77="L"&amp;E77,F77&gt;=1,F77&lt;=13,G77=""),"OK","CHECK"),IF(B77="Cavity",IF(AND(C77="L"&amp;E77&amp;"-S"&amp;TEXT(F77,"00"),F77&gt;=1,F77&lt;=13,G77&gt;=1,G77&lt;=3),"OK","CHECK"),"CHECK")))</x:f>
        <x:v>OK</x:v>
      </x:c>
    </x:row>
    <x:row r="78">
      <x:c r="A78" s="13" t="str">
        <x:v>L22-S05-C3</x:v>
      </x:c>
      <x:c r="B78" s="13" t="str">
        <x:v>Cavity</x:v>
      </x:c>
      <x:c r="C78" s="13" t="str">
        <x:v>L22-S05</x:v>
      </x:c>
      <x:c r="D78" s="13" t="str">
        <x:v>KG01</x:v>
      </x:c>
      <x:c r="E78" s="13" t="n">
        <x:v>22</x:v>
      </x:c>
      <x:c r="F78" s="13" t="n">
        <x:v>5</x:v>
      </x:c>
      <x:c r="G78" s="13" t="n">
        <x:v>3</x:v>
      </x:c>
      <x:c r="H78" s="13" t="str">
        <x:v>Line 22 / Section 05 / Cavity 3</x:v>
      </x:c>
      <x:c r="I78" s="13" t="n">
        <x:v>1</x:v>
      </x:c>
      <x:c r="J78" s="18" t="str">
        <x:f>IF(B78="Line",IF(AND(C78="",F78="",G78=""),"OK","CHECK"),IF(B78="Section",IF(AND(C78="L"&amp;E78,F78&gt;=1,F78&lt;=13,G78=""),"OK","CHECK"),IF(B78="Cavity",IF(AND(C78="L"&amp;E78&amp;"-S"&amp;TEXT(F78,"00"),F78&gt;=1,F78&lt;=13,G78&gt;=1,G78&lt;=3),"OK","CHECK"),"CHECK")))</x:f>
        <x:v>OK</x:v>
      </x:c>
    </x:row>
    <x:row r="79">
      <x:c r="A79" s="13" t="str">
        <x:v>L22-S06</x:v>
      </x:c>
      <x:c r="B79" s="13" t="str">
        <x:v>Section</x:v>
      </x:c>
      <x:c r="C79" s="13" t="str">
        <x:v>L22</x:v>
      </x:c>
      <x:c r="D79" s="13" t="str">
        <x:v>KG01</x:v>
      </x:c>
      <x:c r="E79" s="13" t="n">
        <x:v>22</x:v>
      </x:c>
      <x:c r="F79" s="13" t="n">
        <x:v>6</x:v>
      </x:c>
      <x:c r="G79" s="13"/>
      <x:c r="H79" s="13" t="str">
        <x:v>Line 22 / Section 06</x:v>
      </x:c>
      <x:c r="I79" s="13" t="n">
        <x:v>1</x:v>
      </x:c>
      <x:c r="J79" s="18" t="str">
        <x:f>IF(B79="Line",IF(AND(C79="",F79="",G79=""),"OK","CHECK"),IF(B79="Section",IF(AND(C79="L"&amp;E79,F79&gt;=1,F79&lt;=13,G79=""),"OK","CHECK"),IF(B79="Cavity",IF(AND(C79="L"&amp;E79&amp;"-S"&amp;TEXT(F79,"00"),F79&gt;=1,F79&lt;=13,G79&gt;=1,G79&lt;=3),"OK","CHECK"),"CHECK")))</x:f>
        <x:v>OK</x:v>
      </x:c>
    </x:row>
    <x:row r="80">
      <x:c r="A80" s="13" t="str">
        <x:v>L22-S06-C1</x:v>
      </x:c>
      <x:c r="B80" s="13" t="str">
        <x:v>Cavity</x:v>
      </x:c>
      <x:c r="C80" s="13" t="str">
        <x:v>L22-S06</x:v>
      </x:c>
      <x:c r="D80" s="13" t="str">
        <x:v>KG01</x:v>
      </x:c>
      <x:c r="E80" s="13" t="n">
        <x:v>22</x:v>
      </x:c>
      <x:c r="F80" s="13" t="n">
        <x:v>6</x:v>
      </x:c>
      <x:c r="G80" s="13" t="n">
        <x:v>1</x:v>
      </x:c>
      <x:c r="H80" s="13" t="str">
        <x:v>Line 22 / Section 06 / Cavity 1</x:v>
      </x:c>
      <x:c r="I80" s="13" t="n">
        <x:v>1</x:v>
      </x:c>
      <x:c r="J80" s="18" t="str">
        <x:f>IF(B80="Line",IF(AND(C80="",F80="",G80=""),"OK","CHECK"),IF(B80="Section",IF(AND(C80="L"&amp;E80,F80&gt;=1,F80&lt;=13,G80=""),"OK","CHECK"),IF(B80="Cavity",IF(AND(C80="L"&amp;E80&amp;"-S"&amp;TEXT(F80,"00"),F80&gt;=1,F80&lt;=13,G80&gt;=1,G80&lt;=3),"OK","CHECK"),"CHECK")))</x:f>
        <x:v>OK</x:v>
      </x:c>
    </x:row>
    <x:row r="81">
      <x:c r="A81" s="13" t="str">
        <x:v>L22-S06-C2</x:v>
      </x:c>
      <x:c r="B81" s="13" t="str">
        <x:v>Cavity</x:v>
      </x:c>
      <x:c r="C81" s="13" t="str">
        <x:v>L22-S06</x:v>
      </x:c>
      <x:c r="D81" s="13" t="str">
        <x:v>KG01</x:v>
      </x:c>
      <x:c r="E81" s="13" t="n">
        <x:v>22</x:v>
      </x:c>
      <x:c r="F81" s="13" t="n">
        <x:v>6</x:v>
      </x:c>
      <x:c r="G81" s="13" t="n">
        <x:v>2</x:v>
      </x:c>
      <x:c r="H81" s="13" t="str">
        <x:v>Line 22 / Section 06 / Cavity 2</x:v>
      </x:c>
      <x:c r="I81" s="13" t="n">
        <x:v>1</x:v>
      </x:c>
      <x:c r="J81" s="18" t="str">
        <x:f>IF(B81="Line",IF(AND(C81="",F81="",G81=""),"OK","CHECK"),IF(B81="Section",IF(AND(C81="L"&amp;E81,F81&gt;=1,F81&lt;=13,G81=""),"OK","CHECK"),IF(B81="Cavity",IF(AND(C81="L"&amp;E81&amp;"-S"&amp;TEXT(F81,"00"),F81&gt;=1,F81&lt;=13,G81&gt;=1,G81&lt;=3),"OK","CHECK"),"CHECK")))</x:f>
        <x:v>OK</x:v>
      </x:c>
    </x:row>
    <x:row r="82">
      <x:c r="A82" s="13" t="str">
        <x:v>L22-S06-C3</x:v>
      </x:c>
      <x:c r="B82" s="13" t="str">
        <x:v>Cavity</x:v>
      </x:c>
      <x:c r="C82" s="13" t="str">
        <x:v>L22-S06</x:v>
      </x:c>
      <x:c r="D82" s="13" t="str">
        <x:v>KG01</x:v>
      </x:c>
      <x:c r="E82" s="13" t="n">
        <x:v>22</x:v>
      </x:c>
      <x:c r="F82" s="13" t="n">
        <x:v>6</x:v>
      </x:c>
      <x:c r="G82" s="13" t="n">
        <x:v>3</x:v>
      </x:c>
      <x:c r="H82" s="13" t="str">
        <x:v>Line 22 / Section 06 / Cavity 3</x:v>
      </x:c>
      <x:c r="I82" s="13" t="n">
        <x:v>1</x:v>
      </x:c>
      <x:c r="J82" s="18" t="str">
        <x:f>IF(B82="Line",IF(AND(C82="",F82="",G82=""),"OK","CHECK"),IF(B82="Section",IF(AND(C82="L"&amp;E82,F82&gt;=1,F82&lt;=13,G82=""),"OK","CHECK"),IF(B82="Cavity",IF(AND(C82="L"&amp;E82&amp;"-S"&amp;TEXT(F82,"00"),F82&gt;=1,F82&lt;=13,G82&gt;=1,G82&lt;=3),"OK","CHECK"),"CHECK")))</x:f>
        <x:v>OK</x:v>
      </x:c>
    </x:row>
    <x:row r="83">
      <x:c r="A83" s="13" t="str">
        <x:v>L22-S07</x:v>
      </x:c>
      <x:c r="B83" s="13" t="str">
        <x:v>Section</x:v>
      </x:c>
      <x:c r="C83" s="13" t="str">
        <x:v>L22</x:v>
      </x:c>
      <x:c r="D83" s="13" t="str">
        <x:v>KG01</x:v>
      </x:c>
      <x:c r="E83" s="13" t="n">
        <x:v>22</x:v>
      </x:c>
      <x:c r="F83" s="13" t="n">
        <x:v>7</x:v>
      </x:c>
      <x:c r="G83" s="13"/>
      <x:c r="H83" s="13" t="str">
        <x:v>Line 22 / Section 07</x:v>
      </x:c>
      <x:c r="I83" s="13" t="n">
        <x:v>1</x:v>
      </x:c>
      <x:c r="J83" s="18" t="str">
        <x:f>IF(B83="Line",IF(AND(C83="",F83="",G83=""),"OK","CHECK"),IF(B83="Section",IF(AND(C83="L"&amp;E83,F83&gt;=1,F83&lt;=13,G83=""),"OK","CHECK"),IF(B83="Cavity",IF(AND(C83="L"&amp;E83&amp;"-S"&amp;TEXT(F83,"00"),F83&gt;=1,F83&lt;=13,G83&gt;=1,G83&lt;=3),"OK","CHECK"),"CHECK")))</x:f>
        <x:v>OK</x:v>
      </x:c>
    </x:row>
    <x:row r="84">
      <x:c r="A84" s="13" t="str">
        <x:v>L22-S07-C1</x:v>
      </x:c>
      <x:c r="B84" s="13" t="str">
        <x:v>Cavity</x:v>
      </x:c>
      <x:c r="C84" s="13" t="str">
        <x:v>L22-S07</x:v>
      </x:c>
      <x:c r="D84" s="13" t="str">
        <x:v>KG01</x:v>
      </x:c>
      <x:c r="E84" s="13" t="n">
        <x:v>22</x:v>
      </x:c>
      <x:c r="F84" s="13" t="n">
        <x:v>7</x:v>
      </x:c>
      <x:c r="G84" s="13" t="n">
        <x:v>1</x:v>
      </x:c>
      <x:c r="H84" s="13" t="str">
        <x:v>Line 22 / Section 07 / Cavity 1</x:v>
      </x:c>
      <x:c r="I84" s="13" t="n">
        <x:v>1</x:v>
      </x:c>
      <x:c r="J84" s="18" t="str">
        <x:f>IF(B84="Line",IF(AND(C84="",F84="",G84=""),"OK","CHECK"),IF(B84="Section",IF(AND(C84="L"&amp;E84,F84&gt;=1,F84&lt;=13,G84=""),"OK","CHECK"),IF(B84="Cavity",IF(AND(C84="L"&amp;E84&amp;"-S"&amp;TEXT(F84,"00"),F84&gt;=1,F84&lt;=13,G84&gt;=1,G84&lt;=3),"OK","CHECK"),"CHECK")))</x:f>
        <x:v>OK</x:v>
      </x:c>
    </x:row>
    <x:row r="85">
      <x:c r="A85" s="13" t="str">
        <x:v>L22-S07-C2</x:v>
      </x:c>
      <x:c r="B85" s="13" t="str">
        <x:v>Cavity</x:v>
      </x:c>
      <x:c r="C85" s="13" t="str">
        <x:v>L22-S07</x:v>
      </x:c>
      <x:c r="D85" s="13" t="str">
        <x:v>KG01</x:v>
      </x:c>
      <x:c r="E85" s="13" t="n">
        <x:v>22</x:v>
      </x:c>
      <x:c r="F85" s="13" t="n">
        <x:v>7</x:v>
      </x:c>
      <x:c r="G85" s="13" t="n">
        <x:v>2</x:v>
      </x:c>
      <x:c r="H85" s="13" t="str">
        <x:v>Line 22 / Section 07 / Cavity 2</x:v>
      </x:c>
      <x:c r="I85" s="13" t="n">
        <x:v>1</x:v>
      </x:c>
      <x:c r="J85" s="18" t="str">
        <x:f>IF(B85="Line",IF(AND(C85="",F85="",G85=""),"OK","CHECK"),IF(B85="Section",IF(AND(C85="L"&amp;E85,F85&gt;=1,F85&lt;=13,G85=""),"OK","CHECK"),IF(B85="Cavity",IF(AND(C85="L"&amp;E85&amp;"-S"&amp;TEXT(F85,"00"),F85&gt;=1,F85&lt;=13,G85&gt;=1,G85&lt;=3),"OK","CHECK"),"CHECK")))</x:f>
        <x:v>OK</x:v>
      </x:c>
    </x:row>
    <x:row r="86">
      <x:c r="A86" s="13" t="str">
        <x:v>L22-S07-C3</x:v>
      </x:c>
      <x:c r="B86" s="13" t="str">
        <x:v>Cavity</x:v>
      </x:c>
      <x:c r="C86" s="13" t="str">
        <x:v>L22-S07</x:v>
      </x:c>
      <x:c r="D86" s="13" t="str">
        <x:v>KG01</x:v>
      </x:c>
      <x:c r="E86" s="13" t="n">
        <x:v>22</x:v>
      </x:c>
      <x:c r="F86" s="13" t="n">
        <x:v>7</x:v>
      </x:c>
      <x:c r="G86" s="13" t="n">
        <x:v>3</x:v>
      </x:c>
      <x:c r="H86" s="13" t="str">
        <x:v>Line 22 / Section 07 / Cavity 3</x:v>
      </x:c>
      <x:c r="I86" s="13" t="n">
        <x:v>1</x:v>
      </x:c>
      <x:c r="J86" s="18" t="str">
        <x:f>IF(B86="Line",IF(AND(C86="",F86="",G86=""),"OK","CHECK"),IF(B86="Section",IF(AND(C86="L"&amp;E86,F86&gt;=1,F86&lt;=13,G86=""),"OK","CHECK"),IF(B86="Cavity",IF(AND(C86="L"&amp;E86&amp;"-S"&amp;TEXT(F86,"00"),F86&gt;=1,F86&lt;=13,G86&gt;=1,G86&lt;=3),"OK","CHECK"),"CHECK")))</x:f>
        <x:v>OK</x:v>
      </x:c>
    </x:row>
    <x:row r="87">
      <x:c r="A87" s="13" t="str">
        <x:v>L22-S08</x:v>
      </x:c>
      <x:c r="B87" s="13" t="str">
        <x:v>Section</x:v>
      </x:c>
      <x:c r="C87" s="13" t="str">
        <x:v>L22</x:v>
      </x:c>
      <x:c r="D87" s="13" t="str">
        <x:v>KG01</x:v>
      </x:c>
      <x:c r="E87" s="13" t="n">
        <x:v>22</x:v>
      </x:c>
      <x:c r="F87" s="13" t="n">
        <x:v>8</x:v>
      </x:c>
      <x:c r="G87" s="13"/>
      <x:c r="H87" s="13" t="str">
        <x:v>Line 22 / Section 08</x:v>
      </x:c>
      <x:c r="I87" s="13" t="n">
        <x:v>1</x:v>
      </x:c>
      <x:c r="J87" s="18" t="str">
        <x:f>IF(B87="Line",IF(AND(C87="",F87="",G87=""),"OK","CHECK"),IF(B87="Section",IF(AND(C87="L"&amp;E87,F87&gt;=1,F87&lt;=13,G87=""),"OK","CHECK"),IF(B87="Cavity",IF(AND(C87="L"&amp;E87&amp;"-S"&amp;TEXT(F87,"00"),F87&gt;=1,F87&lt;=13,G87&gt;=1,G87&lt;=3),"OK","CHECK"),"CHECK")))</x:f>
        <x:v>OK</x:v>
      </x:c>
    </x:row>
    <x:row r="88">
      <x:c r="A88" s="13" t="str">
        <x:v>L22-S08-C1</x:v>
      </x:c>
      <x:c r="B88" s="13" t="str">
        <x:v>Cavity</x:v>
      </x:c>
      <x:c r="C88" s="13" t="str">
        <x:v>L22-S08</x:v>
      </x:c>
      <x:c r="D88" s="13" t="str">
        <x:v>KG01</x:v>
      </x:c>
      <x:c r="E88" s="13" t="n">
        <x:v>22</x:v>
      </x:c>
      <x:c r="F88" s="13" t="n">
        <x:v>8</x:v>
      </x:c>
      <x:c r="G88" s="13" t="n">
        <x:v>1</x:v>
      </x:c>
      <x:c r="H88" s="13" t="str">
        <x:v>Line 22 / Section 08 / Cavity 1</x:v>
      </x:c>
      <x:c r="I88" s="13" t="n">
        <x:v>1</x:v>
      </x:c>
      <x:c r="J88" s="18" t="str">
        <x:f>IF(B88="Line",IF(AND(C88="",F88="",G88=""),"OK","CHECK"),IF(B88="Section",IF(AND(C88="L"&amp;E88,F88&gt;=1,F88&lt;=13,G88=""),"OK","CHECK"),IF(B88="Cavity",IF(AND(C88="L"&amp;E88&amp;"-S"&amp;TEXT(F88,"00"),F88&gt;=1,F88&lt;=13,G88&gt;=1,G88&lt;=3),"OK","CHECK"),"CHECK")))</x:f>
        <x:v>OK</x:v>
      </x:c>
    </x:row>
    <x:row r="89">
      <x:c r="A89" s="13" t="str">
        <x:v>L22-S08-C2</x:v>
      </x:c>
      <x:c r="B89" s="13" t="str">
        <x:v>Cavity</x:v>
      </x:c>
      <x:c r="C89" s="13" t="str">
        <x:v>L22-S08</x:v>
      </x:c>
      <x:c r="D89" s="13" t="str">
        <x:v>KG01</x:v>
      </x:c>
      <x:c r="E89" s="13" t="n">
        <x:v>22</x:v>
      </x:c>
      <x:c r="F89" s="13" t="n">
        <x:v>8</x:v>
      </x:c>
      <x:c r="G89" s="13" t="n">
        <x:v>2</x:v>
      </x:c>
      <x:c r="H89" s="13" t="str">
        <x:v>Line 22 / Section 08 / Cavity 2</x:v>
      </x:c>
      <x:c r="I89" s="13" t="n">
        <x:v>1</x:v>
      </x:c>
      <x:c r="J89" s="18" t="str">
        <x:f>IF(B89="Line",IF(AND(C89="",F89="",G89=""),"OK","CHECK"),IF(B89="Section",IF(AND(C89="L"&amp;E89,F89&gt;=1,F89&lt;=13,G89=""),"OK","CHECK"),IF(B89="Cavity",IF(AND(C89="L"&amp;E89&amp;"-S"&amp;TEXT(F89,"00"),F89&gt;=1,F89&lt;=13,G89&gt;=1,G89&lt;=3),"OK","CHECK"),"CHECK")))</x:f>
        <x:v>OK</x:v>
      </x:c>
    </x:row>
    <x:row r="90">
      <x:c r="A90" s="13" t="str">
        <x:v>L22-S08-C3</x:v>
      </x:c>
      <x:c r="B90" s="13" t="str">
        <x:v>Cavity</x:v>
      </x:c>
      <x:c r="C90" s="13" t="str">
        <x:v>L22-S08</x:v>
      </x:c>
      <x:c r="D90" s="13" t="str">
        <x:v>KG01</x:v>
      </x:c>
      <x:c r="E90" s="13" t="n">
        <x:v>22</x:v>
      </x:c>
      <x:c r="F90" s="13" t="n">
        <x:v>8</x:v>
      </x:c>
      <x:c r="G90" s="13" t="n">
        <x:v>3</x:v>
      </x:c>
      <x:c r="H90" s="13" t="str">
        <x:v>Line 22 / Section 08 / Cavity 3</x:v>
      </x:c>
      <x:c r="I90" s="13" t="n">
        <x:v>1</x:v>
      </x:c>
      <x:c r="J90" s="18" t="str">
        <x:f>IF(B90="Line",IF(AND(C90="",F90="",G90=""),"OK","CHECK"),IF(B90="Section",IF(AND(C90="L"&amp;E90,F90&gt;=1,F90&lt;=13,G90=""),"OK","CHECK"),IF(B90="Cavity",IF(AND(C90="L"&amp;E90&amp;"-S"&amp;TEXT(F90,"00"),F90&gt;=1,F90&lt;=13,G90&gt;=1,G90&lt;=3),"OK","CHECK"),"CHECK")))</x:f>
        <x:v>OK</x:v>
      </x:c>
    </x:row>
    <x:row r="91">
      <x:c r="A91" s="13" t="str">
        <x:v>L22-S09</x:v>
      </x:c>
      <x:c r="B91" s="13" t="str">
        <x:v>Section</x:v>
      </x:c>
      <x:c r="C91" s="13" t="str">
        <x:v>L22</x:v>
      </x:c>
      <x:c r="D91" s="13" t="str">
        <x:v>KG01</x:v>
      </x:c>
      <x:c r="E91" s="13" t="n">
        <x:v>22</x:v>
      </x:c>
      <x:c r="F91" s="13" t="n">
        <x:v>9</x:v>
      </x:c>
      <x:c r="G91" s="13"/>
      <x:c r="H91" s="13" t="str">
        <x:v>Line 22 / Section 09</x:v>
      </x:c>
      <x:c r="I91" s="13" t="n">
        <x:v>1</x:v>
      </x:c>
      <x:c r="J91" s="18" t="str">
        <x:f>IF(B91="Line",IF(AND(C91="",F91="",G91=""),"OK","CHECK"),IF(B91="Section",IF(AND(C91="L"&amp;E91,F91&gt;=1,F91&lt;=13,G91=""),"OK","CHECK"),IF(B91="Cavity",IF(AND(C91="L"&amp;E91&amp;"-S"&amp;TEXT(F91,"00"),F91&gt;=1,F91&lt;=13,G91&gt;=1,G91&lt;=3),"OK","CHECK"),"CHECK")))</x:f>
        <x:v>OK</x:v>
      </x:c>
    </x:row>
    <x:row r="92">
      <x:c r="A92" s="13" t="str">
        <x:v>L22-S09-C1</x:v>
      </x:c>
      <x:c r="B92" s="13" t="str">
        <x:v>Cavity</x:v>
      </x:c>
      <x:c r="C92" s="13" t="str">
        <x:v>L22-S09</x:v>
      </x:c>
      <x:c r="D92" s="13" t="str">
        <x:v>KG01</x:v>
      </x:c>
      <x:c r="E92" s="13" t="n">
        <x:v>22</x:v>
      </x:c>
      <x:c r="F92" s="13" t="n">
        <x:v>9</x:v>
      </x:c>
      <x:c r="G92" s="13" t="n">
        <x:v>1</x:v>
      </x:c>
      <x:c r="H92" s="13" t="str">
        <x:v>Line 22 / Section 09 / Cavity 1</x:v>
      </x:c>
      <x:c r="I92" s="13" t="n">
        <x:v>1</x:v>
      </x:c>
      <x:c r="J92" s="18" t="str">
        <x:f>IF(B92="Line",IF(AND(C92="",F92="",G92=""),"OK","CHECK"),IF(B92="Section",IF(AND(C92="L"&amp;E92,F92&gt;=1,F92&lt;=13,G92=""),"OK","CHECK"),IF(B92="Cavity",IF(AND(C92="L"&amp;E92&amp;"-S"&amp;TEXT(F92,"00"),F92&gt;=1,F92&lt;=13,G92&gt;=1,G92&lt;=3),"OK","CHECK"),"CHECK")))</x:f>
        <x:v>OK</x:v>
      </x:c>
    </x:row>
    <x:row r="93">
      <x:c r="A93" s="13" t="str">
        <x:v>L22-S09-C2</x:v>
      </x:c>
      <x:c r="B93" s="13" t="str">
        <x:v>Cavity</x:v>
      </x:c>
      <x:c r="C93" s="13" t="str">
        <x:v>L22-S09</x:v>
      </x:c>
      <x:c r="D93" s="13" t="str">
        <x:v>KG01</x:v>
      </x:c>
      <x:c r="E93" s="13" t="n">
        <x:v>22</x:v>
      </x:c>
      <x:c r="F93" s="13" t="n">
        <x:v>9</x:v>
      </x:c>
      <x:c r="G93" s="13" t="n">
        <x:v>2</x:v>
      </x:c>
      <x:c r="H93" s="13" t="str">
        <x:v>Line 22 / Section 09 / Cavity 2</x:v>
      </x:c>
      <x:c r="I93" s="13" t="n">
        <x:v>1</x:v>
      </x:c>
      <x:c r="J93" s="18" t="str">
        <x:f>IF(B93="Line",IF(AND(C93="",F93="",G93=""),"OK","CHECK"),IF(B93="Section",IF(AND(C93="L"&amp;E93,F93&gt;=1,F93&lt;=13,G93=""),"OK","CHECK"),IF(B93="Cavity",IF(AND(C93="L"&amp;E93&amp;"-S"&amp;TEXT(F93,"00"),F93&gt;=1,F93&lt;=13,G93&gt;=1,G93&lt;=3),"OK","CHECK"),"CHECK")))</x:f>
        <x:v>OK</x:v>
      </x:c>
    </x:row>
    <x:row r="94">
      <x:c r="A94" s="13" t="str">
        <x:v>L22-S09-C3</x:v>
      </x:c>
      <x:c r="B94" s="13" t="str">
        <x:v>Cavity</x:v>
      </x:c>
      <x:c r="C94" s="13" t="str">
        <x:v>L22-S09</x:v>
      </x:c>
      <x:c r="D94" s="13" t="str">
        <x:v>KG01</x:v>
      </x:c>
      <x:c r="E94" s="13" t="n">
        <x:v>22</x:v>
      </x:c>
      <x:c r="F94" s="13" t="n">
        <x:v>9</x:v>
      </x:c>
      <x:c r="G94" s="13" t="n">
        <x:v>3</x:v>
      </x:c>
      <x:c r="H94" s="13" t="str">
        <x:v>Line 22 / Section 09 / Cavity 3</x:v>
      </x:c>
      <x:c r="I94" s="13" t="n">
        <x:v>1</x:v>
      </x:c>
      <x:c r="J94" s="18" t="str">
        <x:f>IF(B94="Line",IF(AND(C94="",F94="",G94=""),"OK","CHECK"),IF(B94="Section",IF(AND(C94="L"&amp;E94,F94&gt;=1,F94&lt;=13,G94=""),"OK","CHECK"),IF(B94="Cavity",IF(AND(C94="L"&amp;E94&amp;"-S"&amp;TEXT(F94,"00"),F94&gt;=1,F94&lt;=13,G94&gt;=1,G94&lt;=3),"OK","CHECK"),"CHECK")))</x:f>
        <x:v>OK</x:v>
      </x:c>
    </x:row>
    <x:row r="95">
      <x:c r="A95" s="13" t="str">
        <x:v>L22-S10</x:v>
      </x:c>
      <x:c r="B95" s="13" t="str">
        <x:v>Section</x:v>
      </x:c>
      <x:c r="C95" s="13" t="str">
        <x:v>L22</x:v>
      </x:c>
      <x:c r="D95" s="13" t="str">
        <x:v>KG01</x:v>
      </x:c>
      <x:c r="E95" s="13" t="n">
        <x:v>22</x:v>
      </x:c>
      <x:c r="F95" s="13" t="n">
        <x:v>10</x:v>
      </x:c>
      <x:c r="G95" s="13"/>
      <x:c r="H95" s="13" t="str">
        <x:v>Line 22 / Section 10</x:v>
      </x:c>
      <x:c r="I95" s="13" t="n">
        <x:v>1</x:v>
      </x:c>
      <x:c r="J95" s="18" t="str">
        <x:f>IF(B95="Line",IF(AND(C95="",F95="",G95=""),"OK","CHECK"),IF(B95="Section",IF(AND(C95="L"&amp;E95,F95&gt;=1,F95&lt;=13,G95=""),"OK","CHECK"),IF(B95="Cavity",IF(AND(C95="L"&amp;E95&amp;"-S"&amp;TEXT(F95,"00"),F95&gt;=1,F95&lt;=13,G95&gt;=1,G95&lt;=3),"OK","CHECK"),"CHECK")))</x:f>
        <x:v>OK</x:v>
      </x:c>
    </x:row>
    <x:row r="96">
      <x:c r="A96" s="13" t="str">
        <x:v>L22-S10-C1</x:v>
      </x:c>
      <x:c r="B96" s="13" t="str">
        <x:v>Cavity</x:v>
      </x:c>
      <x:c r="C96" s="13" t="str">
        <x:v>L22-S10</x:v>
      </x:c>
      <x:c r="D96" s="13" t="str">
        <x:v>KG01</x:v>
      </x:c>
      <x:c r="E96" s="13" t="n">
        <x:v>22</x:v>
      </x:c>
      <x:c r="F96" s="13" t="n">
        <x:v>10</x:v>
      </x:c>
      <x:c r="G96" s="13" t="n">
        <x:v>1</x:v>
      </x:c>
      <x:c r="H96" s="13" t="str">
        <x:v>Line 22 / Section 10 / Cavity 1</x:v>
      </x:c>
      <x:c r="I96" s="13" t="n">
        <x:v>1</x:v>
      </x:c>
      <x:c r="J96" s="18" t="str">
        <x:f>IF(B96="Line",IF(AND(C96="",F96="",G96=""),"OK","CHECK"),IF(B96="Section",IF(AND(C96="L"&amp;E96,F96&gt;=1,F96&lt;=13,G96=""),"OK","CHECK"),IF(B96="Cavity",IF(AND(C96="L"&amp;E96&amp;"-S"&amp;TEXT(F96,"00"),F96&gt;=1,F96&lt;=13,G96&gt;=1,G96&lt;=3),"OK","CHECK"),"CHECK")))</x:f>
        <x:v>OK</x:v>
      </x:c>
    </x:row>
    <x:row r="97">
      <x:c r="A97" s="13" t="str">
        <x:v>L22-S10-C2</x:v>
      </x:c>
      <x:c r="B97" s="13" t="str">
        <x:v>Cavity</x:v>
      </x:c>
      <x:c r="C97" s="13" t="str">
        <x:v>L22-S10</x:v>
      </x:c>
      <x:c r="D97" s="13" t="str">
        <x:v>KG01</x:v>
      </x:c>
      <x:c r="E97" s="13" t="n">
        <x:v>22</x:v>
      </x:c>
      <x:c r="F97" s="13" t="n">
        <x:v>10</x:v>
      </x:c>
      <x:c r="G97" s="13" t="n">
        <x:v>2</x:v>
      </x:c>
      <x:c r="H97" s="13" t="str">
        <x:v>Line 22 / Section 10 / Cavity 2</x:v>
      </x:c>
      <x:c r="I97" s="13" t="n">
        <x:v>1</x:v>
      </x:c>
      <x:c r="J97" s="18" t="str">
        <x:f>IF(B97="Line",IF(AND(C97="",F97="",G97=""),"OK","CHECK"),IF(B97="Section",IF(AND(C97="L"&amp;E97,F97&gt;=1,F97&lt;=13,G97=""),"OK","CHECK"),IF(B97="Cavity",IF(AND(C97="L"&amp;E97&amp;"-S"&amp;TEXT(F97,"00"),F97&gt;=1,F97&lt;=13,G97&gt;=1,G97&lt;=3),"OK","CHECK"),"CHECK")))</x:f>
        <x:v>OK</x:v>
      </x:c>
    </x:row>
    <x:row r="98">
      <x:c r="A98" s="13" t="str">
        <x:v>L22-S10-C3</x:v>
      </x:c>
      <x:c r="B98" s="13" t="str">
        <x:v>Cavity</x:v>
      </x:c>
      <x:c r="C98" s="13" t="str">
        <x:v>L22-S10</x:v>
      </x:c>
      <x:c r="D98" s="13" t="str">
        <x:v>KG01</x:v>
      </x:c>
      <x:c r="E98" s="13" t="n">
        <x:v>22</x:v>
      </x:c>
      <x:c r="F98" s="13" t="n">
        <x:v>10</x:v>
      </x:c>
      <x:c r="G98" s="13" t="n">
        <x:v>3</x:v>
      </x:c>
      <x:c r="H98" s="13" t="str">
        <x:v>Line 22 / Section 10 / Cavity 3</x:v>
      </x:c>
      <x:c r="I98" s="13" t="n">
        <x:v>1</x:v>
      </x:c>
      <x:c r="J98" s="18" t="str">
        <x:f>IF(B98="Line",IF(AND(C98="",F98="",G98=""),"OK","CHECK"),IF(B98="Section",IF(AND(C98="L"&amp;E98,F98&gt;=1,F98&lt;=13,G98=""),"OK","CHECK"),IF(B98="Cavity",IF(AND(C98="L"&amp;E98&amp;"-S"&amp;TEXT(F98,"00"),F98&gt;=1,F98&lt;=13,G98&gt;=1,G98&lt;=3),"OK","CHECK"),"CHECK")))</x:f>
        <x:v>OK</x:v>
      </x:c>
    </x:row>
    <x:row r="99">
      <x:c r="A99" s="13" t="str">
        <x:v>L22-S11</x:v>
      </x:c>
      <x:c r="B99" s="13" t="str">
        <x:v>Section</x:v>
      </x:c>
      <x:c r="C99" s="13" t="str">
        <x:v>L22</x:v>
      </x:c>
      <x:c r="D99" s="13" t="str">
        <x:v>KG01</x:v>
      </x:c>
      <x:c r="E99" s="13" t="n">
        <x:v>22</x:v>
      </x:c>
      <x:c r="F99" s="13" t="n">
        <x:v>11</x:v>
      </x:c>
      <x:c r="G99" s="13"/>
      <x:c r="H99" s="13" t="str">
        <x:v>Line 22 / Section 11</x:v>
      </x:c>
      <x:c r="I99" s="13" t="n">
        <x:v>1</x:v>
      </x:c>
      <x:c r="J99" s="18" t="str">
        <x:f>IF(B99="Line",IF(AND(C99="",F99="",G99=""),"OK","CHECK"),IF(B99="Section",IF(AND(C99="L"&amp;E99,F99&gt;=1,F99&lt;=13,G99=""),"OK","CHECK"),IF(B99="Cavity",IF(AND(C99="L"&amp;E99&amp;"-S"&amp;TEXT(F99,"00"),F99&gt;=1,F99&lt;=13,G99&gt;=1,G99&lt;=3),"OK","CHECK"),"CHECK")))</x:f>
        <x:v>OK</x:v>
      </x:c>
    </x:row>
    <x:row r="100">
      <x:c r="A100" s="13" t="str">
        <x:v>L22-S11-C1</x:v>
      </x:c>
      <x:c r="B100" s="13" t="str">
        <x:v>Cavity</x:v>
      </x:c>
      <x:c r="C100" s="13" t="str">
        <x:v>L22-S11</x:v>
      </x:c>
      <x:c r="D100" s="13" t="str">
        <x:v>KG01</x:v>
      </x:c>
      <x:c r="E100" s="13" t="n">
        <x:v>22</x:v>
      </x:c>
      <x:c r="F100" s="13" t="n">
        <x:v>11</x:v>
      </x:c>
      <x:c r="G100" s="13" t="n">
        <x:v>1</x:v>
      </x:c>
      <x:c r="H100" s="13" t="str">
        <x:v>Line 22 / Section 11 / Cavity 1</x:v>
      </x:c>
      <x:c r="I100" s="13" t="n">
        <x:v>1</x:v>
      </x:c>
      <x:c r="J100" s="18" t="str">
        <x:f>IF(B100="Line",IF(AND(C100="",F100="",G100=""),"OK","CHECK"),IF(B100="Section",IF(AND(C100="L"&amp;E100,F100&gt;=1,F100&lt;=13,G100=""),"OK","CHECK"),IF(B100="Cavity",IF(AND(C100="L"&amp;E100&amp;"-S"&amp;TEXT(F100,"00"),F100&gt;=1,F100&lt;=13,G100&gt;=1,G100&lt;=3),"OK","CHECK"),"CHECK")))</x:f>
        <x:v>OK</x:v>
      </x:c>
    </x:row>
    <x:row r="101">
      <x:c r="A101" s="13" t="str">
        <x:v>L22-S11-C2</x:v>
      </x:c>
      <x:c r="B101" s="13" t="str">
        <x:v>Cavity</x:v>
      </x:c>
      <x:c r="C101" s="13" t="str">
        <x:v>L22-S11</x:v>
      </x:c>
      <x:c r="D101" s="13" t="str">
        <x:v>KG01</x:v>
      </x:c>
      <x:c r="E101" s="13" t="n">
        <x:v>22</x:v>
      </x:c>
      <x:c r="F101" s="13" t="n">
        <x:v>11</x:v>
      </x:c>
      <x:c r="G101" s="13" t="n">
        <x:v>2</x:v>
      </x:c>
      <x:c r="H101" s="13" t="str">
        <x:v>Line 22 / Section 11 / Cavity 2</x:v>
      </x:c>
      <x:c r="I101" s="13" t="n">
        <x:v>1</x:v>
      </x:c>
      <x:c r="J101" s="18" t="str">
        <x:f>IF(B101="Line",IF(AND(C101="",F101="",G101=""),"OK","CHECK"),IF(B101="Section",IF(AND(C101="L"&amp;E101,F101&gt;=1,F101&lt;=13,G101=""),"OK","CHECK"),IF(B101="Cavity",IF(AND(C101="L"&amp;E101&amp;"-S"&amp;TEXT(F101,"00"),F101&gt;=1,F101&lt;=13,G101&gt;=1,G101&lt;=3),"OK","CHECK"),"CHECK")))</x:f>
        <x:v>OK</x:v>
      </x:c>
    </x:row>
    <x:row r="102">
      <x:c r="A102" s="13" t="str">
        <x:v>L22-S11-C3</x:v>
      </x:c>
      <x:c r="B102" s="13" t="str">
        <x:v>Cavity</x:v>
      </x:c>
      <x:c r="C102" s="13" t="str">
        <x:v>L22-S11</x:v>
      </x:c>
      <x:c r="D102" s="13" t="str">
        <x:v>KG01</x:v>
      </x:c>
      <x:c r="E102" s="13" t="n">
        <x:v>22</x:v>
      </x:c>
      <x:c r="F102" s="13" t="n">
        <x:v>11</x:v>
      </x:c>
      <x:c r="G102" s="13" t="n">
        <x:v>3</x:v>
      </x:c>
      <x:c r="H102" s="13" t="str">
        <x:v>Line 22 / Section 11 / Cavity 3</x:v>
      </x:c>
      <x:c r="I102" s="13" t="n">
        <x:v>1</x:v>
      </x:c>
      <x:c r="J102" s="18" t="str">
        <x:f>IF(B102="Line",IF(AND(C102="",F102="",G102=""),"OK","CHECK"),IF(B102="Section",IF(AND(C102="L"&amp;E102,F102&gt;=1,F102&lt;=13,G102=""),"OK","CHECK"),IF(B102="Cavity",IF(AND(C102="L"&amp;E102&amp;"-S"&amp;TEXT(F102,"00"),F102&gt;=1,F102&lt;=13,G102&gt;=1,G102&lt;=3),"OK","CHECK"),"CHECK")))</x:f>
        <x:v>OK</x:v>
      </x:c>
    </x:row>
    <x:row r="103">
      <x:c r="A103" s="13" t="str">
        <x:v>L22-S12</x:v>
      </x:c>
      <x:c r="B103" s="13" t="str">
        <x:v>Section</x:v>
      </x:c>
      <x:c r="C103" s="13" t="str">
        <x:v>L22</x:v>
      </x:c>
      <x:c r="D103" s="13" t="str">
        <x:v>KG01</x:v>
      </x:c>
      <x:c r="E103" s="13" t="n">
        <x:v>22</x:v>
      </x:c>
      <x:c r="F103" s="13" t="n">
        <x:v>12</x:v>
      </x:c>
      <x:c r="G103" s="13"/>
      <x:c r="H103" s="13" t="str">
        <x:v>Line 22 / Section 12</x:v>
      </x:c>
      <x:c r="I103" s="13" t="n">
        <x:v>1</x:v>
      </x:c>
      <x:c r="J103" s="18" t="str">
        <x:f>IF(B103="Line",IF(AND(C103="",F103="",G103=""),"OK","CHECK"),IF(B103="Section",IF(AND(C103="L"&amp;E103,F103&gt;=1,F103&lt;=13,G103=""),"OK","CHECK"),IF(B103="Cavity",IF(AND(C103="L"&amp;E103&amp;"-S"&amp;TEXT(F103,"00"),F103&gt;=1,F103&lt;=13,G103&gt;=1,G103&lt;=3),"OK","CHECK"),"CHECK")))</x:f>
        <x:v>OK</x:v>
      </x:c>
    </x:row>
    <x:row r="104">
      <x:c r="A104" s="13" t="str">
        <x:v>L22-S12-C1</x:v>
      </x:c>
      <x:c r="B104" s="13" t="str">
        <x:v>Cavity</x:v>
      </x:c>
      <x:c r="C104" s="13" t="str">
        <x:v>L22-S12</x:v>
      </x:c>
      <x:c r="D104" s="13" t="str">
        <x:v>KG01</x:v>
      </x:c>
      <x:c r="E104" s="13" t="n">
        <x:v>22</x:v>
      </x:c>
      <x:c r="F104" s="13" t="n">
        <x:v>12</x:v>
      </x:c>
      <x:c r="G104" s="13" t="n">
        <x:v>1</x:v>
      </x:c>
      <x:c r="H104" s="13" t="str">
        <x:v>Line 22 / Section 12 / Cavity 1</x:v>
      </x:c>
      <x:c r="I104" s="13" t="n">
        <x:v>1</x:v>
      </x:c>
      <x:c r="J104" s="18" t="str">
        <x:f>IF(B104="Line",IF(AND(C104="",F104="",G104=""),"OK","CHECK"),IF(B104="Section",IF(AND(C104="L"&amp;E104,F104&gt;=1,F104&lt;=13,G104=""),"OK","CHECK"),IF(B104="Cavity",IF(AND(C104="L"&amp;E104&amp;"-S"&amp;TEXT(F104,"00"),F104&gt;=1,F104&lt;=13,G104&gt;=1,G104&lt;=3),"OK","CHECK"),"CHECK")))</x:f>
        <x:v>OK</x:v>
      </x:c>
    </x:row>
    <x:row r="105">
      <x:c r="A105" s="13" t="str">
        <x:v>L22-S12-C2</x:v>
      </x:c>
      <x:c r="B105" s="13" t="str">
        <x:v>Cavity</x:v>
      </x:c>
      <x:c r="C105" s="13" t="str">
        <x:v>L22-S12</x:v>
      </x:c>
      <x:c r="D105" s="13" t="str">
        <x:v>KG01</x:v>
      </x:c>
      <x:c r="E105" s="13" t="n">
        <x:v>22</x:v>
      </x:c>
      <x:c r="F105" s="13" t="n">
        <x:v>12</x:v>
      </x:c>
      <x:c r="G105" s="13" t="n">
        <x:v>2</x:v>
      </x:c>
      <x:c r="H105" s="13" t="str">
        <x:v>Line 22 / Section 12 / Cavity 2</x:v>
      </x:c>
      <x:c r="I105" s="13" t="n">
        <x:v>1</x:v>
      </x:c>
      <x:c r="J105" s="18" t="str">
        <x:f>IF(B105="Line",IF(AND(C105="",F105="",G105=""),"OK","CHECK"),IF(B105="Section",IF(AND(C105="L"&amp;E105,F105&gt;=1,F105&lt;=13,G105=""),"OK","CHECK"),IF(B105="Cavity",IF(AND(C105="L"&amp;E105&amp;"-S"&amp;TEXT(F105,"00"),F105&gt;=1,F105&lt;=13,G105&gt;=1,G105&lt;=3),"OK","CHECK"),"CHECK")))</x:f>
        <x:v>OK</x:v>
      </x:c>
    </x:row>
    <x:row r="106">
      <x:c r="A106" s="13" t="str">
        <x:v>L22-S12-C3</x:v>
      </x:c>
      <x:c r="B106" s="13" t="str">
        <x:v>Cavity</x:v>
      </x:c>
      <x:c r="C106" s="13" t="str">
        <x:v>L22-S12</x:v>
      </x:c>
      <x:c r="D106" s="13" t="str">
        <x:v>KG01</x:v>
      </x:c>
      <x:c r="E106" s="13" t="n">
        <x:v>22</x:v>
      </x:c>
      <x:c r="F106" s="13" t="n">
        <x:v>12</x:v>
      </x:c>
      <x:c r="G106" s="13" t="n">
        <x:v>3</x:v>
      </x:c>
      <x:c r="H106" s="13" t="str">
        <x:v>Line 22 / Section 12 / Cavity 3</x:v>
      </x:c>
      <x:c r="I106" s="13" t="n">
        <x:v>1</x:v>
      </x:c>
      <x:c r="J106" s="18" t="str">
        <x:f>IF(B106="Line",IF(AND(C106="",F106="",G106=""),"OK","CHECK"),IF(B106="Section",IF(AND(C106="L"&amp;E106,F106&gt;=1,F106&lt;=13,G106=""),"OK","CHECK"),IF(B106="Cavity",IF(AND(C106="L"&amp;E106&amp;"-S"&amp;TEXT(F106,"00"),F106&gt;=1,F106&lt;=13,G106&gt;=1,G106&lt;=3),"OK","CHECK"),"CHECK")))</x:f>
        <x:v>OK</x:v>
      </x:c>
    </x:row>
    <x:row r="107">
      <x:c r="A107" s="13" t="str">
        <x:v>L22-S13</x:v>
      </x:c>
      <x:c r="B107" s="13" t="str">
        <x:v>Section</x:v>
      </x:c>
      <x:c r="C107" s="13" t="str">
        <x:v>L22</x:v>
      </x:c>
      <x:c r="D107" s="13" t="str">
        <x:v>KG01</x:v>
      </x:c>
      <x:c r="E107" s="13" t="n">
        <x:v>22</x:v>
      </x:c>
      <x:c r="F107" s="13" t="n">
        <x:v>13</x:v>
      </x:c>
      <x:c r="G107" s="13"/>
      <x:c r="H107" s="13" t="str">
        <x:v>Line 22 / Section 13</x:v>
      </x:c>
      <x:c r="I107" s="13" t="n">
        <x:v>1</x:v>
      </x:c>
      <x:c r="J107" s="18" t="str">
        <x:f>IF(B107="Line",IF(AND(C107="",F107="",G107=""),"OK","CHECK"),IF(B107="Section",IF(AND(C107="L"&amp;E107,F107&gt;=1,F107&lt;=13,G107=""),"OK","CHECK"),IF(B107="Cavity",IF(AND(C107="L"&amp;E107&amp;"-S"&amp;TEXT(F107,"00"),F107&gt;=1,F107&lt;=13,G107&gt;=1,G107&lt;=3),"OK","CHECK"),"CHECK")))</x:f>
        <x:v>OK</x:v>
      </x:c>
    </x:row>
    <x:row r="108">
      <x:c r="A108" s="13" t="str">
        <x:v>L22-S13-C1</x:v>
      </x:c>
      <x:c r="B108" s="13" t="str">
        <x:v>Cavity</x:v>
      </x:c>
      <x:c r="C108" s="13" t="str">
        <x:v>L22-S13</x:v>
      </x:c>
      <x:c r="D108" s="13" t="str">
        <x:v>KG01</x:v>
      </x:c>
      <x:c r="E108" s="13" t="n">
        <x:v>22</x:v>
      </x:c>
      <x:c r="F108" s="13" t="n">
        <x:v>13</x:v>
      </x:c>
      <x:c r="G108" s="13" t="n">
        <x:v>1</x:v>
      </x:c>
      <x:c r="H108" s="13" t="str">
        <x:v>Line 22 / Section 13 / Cavity 1</x:v>
      </x:c>
      <x:c r="I108" s="13" t="n">
        <x:v>1</x:v>
      </x:c>
      <x:c r="J108" s="18" t="str">
        <x:f>IF(B108="Line",IF(AND(C108="",F108="",G108=""),"OK","CHECK"),IF(B108="Section",IF(AND(C108="L"&amp;E108,F108&gt;=1,F108&lt;=13,G108=""),"OK","CHECK"),IF(B108="Cavity",IF(AND(C108="L"&amp;E108&amp;"-S"&amp;TEXT(F108,"00"),F108&gt;=1,F108&lt;=13,G108&gt;=1,G108&lt;=3),"OK","CHECK"),"CHECK")))</x:f>
        <x:v>OK</x:v>
      </x:c>
    </x:row>
    <x:row r="109">
      <x:c r="A109" s="13" t="str">
        <x:v>L22-S13-C2</x:v>
      </x:c>
      <x:c r="B109" s="13" t="str">
        <x:v>Cavity</x:v>
      </x:c>
      <x:c r="C109" s="13" t="str">
        <x:v>L22-S13</x:v>
      </x:c>
      <x:c r="D109" s="13" t="str">
        <x:v>KG01</x:v>
      </x:c>
      <x:c r="E109" s="13" t="n">
        <x:v>22</x:v>
      </x:c>
      <x:c r="F109" s="13" t="n">
        <x:v>13</x:v>
      </x:c>
      <x:c r="G109" s="13" t="n">
        <x:v>2</x:v>
      </x:c>
      <x:c r="H109" s="13" t="str">
        <x:v>Line 22 / Section 13 / Cavity 2</x:v>
      </x:c>
      <x:c r="I109" s="13" t="n">
        <x:v>1</x:v>
      </x:c>
      <x:c r="J109" s="18" t="str">
        <x:f>IF(B109="Line",IF(AND(C109="",F109="",G109=""),"OK","CHECK"),IF(B109="Section",IF(AND(C109="L"&amp;E109,F109&gt;=1,F109&lt;=13,G109=""),"OK","CHECK"),IF(B109="Cavity",IF(AND(C109="L"&amp;E109&amp;"-S"&amp;TEXT(F109,"00"),F109&gt;=1,F109&lt;=13,G109&gt;=1,G109&lt;=3),"OK","CHECK"),"CHECK")))</x:f>
        <x:v>OK</x:v>
      </x:c>
    </x:row>
    <x:row r="110">
      <x:c r="A110" s="13" t="str">
        <x:v>L22-S13-C3</x:v>
      </x:c>
      <x:c r="B110" s="13" t="str">
        <x:v>Cavity</x:v>
      </x:c>
      <x:c r="C110" s="13" t="str">
        <x:v>L22-S13</x:v>
      </x:c>
      <x:c r="D110" s="13" t="str">
        <x:v>KG01</x:v>
      </x:c>
      <x:c r="E110" s="13" t="n">
        <x:v>22</x:v>
      </x:c>
      <x:c r="F110" s="13" t="n">
        <x:v>13</x:v>
      </x:c>
      <x:c r="G110" s="13" t="n">
        <x:v>3</x:v>
      </x:c>
      <x:c r="H110" s="13" t="str">
        <x:v>Line 22 / Section 13 / Cavity 3</x:v>
      </x:c>
      <x:c r="I110" s="13" t="n">
        <x:v>1</x:v>
      </x:c>
      <x:c r="J110" s="18" t="str">
        <x:f>IF(B110="Line",IF(AND(C110="",F110="",G110=""),"OK","CHECK"),IF(B110="Section",IF(AND(C110="L"&amp;E110,F110&gt;=1,F110&lt;=13,G110=""),"OK","CHECK"),IF(B110="Cavity",IF(AND(C110="L"&amp;E110&amp;"-S"&amp;TEXT(F110,"00"),F110&gt;=1,F110&lt;=13,G110&gt;=1,G110&lt;=3),"OK","CHECK"),"CHECK")))</x:f>
        <x:v>OK</x:v>
      </x:c>
    </x:row>
    <x:row r="111">
      <x:c r="A111" s="13" t="str">
        <x:v>L23</x:v>
      </x:c>
      <x:c r="B111" s="13" t="str">
        <x:v>Line</x:v>
      </x:c>
      <x:c r="C111" s="13"/>
      <x:c r="D111" s="13" t="str">
        <x:v>KG01</x:v>
      </x:c>
      <x:c r="E111" s="13" t="n">
        <x:v>23</x:v>
      </x:c>
      <x:c r="F111" s="13"/>
      <x:c r="G111" s="13"/>
      <x:c r="H111" s="13" t="str">
        <x:v>Line 23</x:v>
      </x:c>
      <x:c r="I111" s="13" t="n">
        <x:v>1</x:v>
      </x:c>
      <x:c r="J111" s="18" t="str">
        <x:f>IF(B111="Line",IF(AND(C111="",F111="",G111=""),"OK","CHECK"),IF(B111="Section",IF(AND(C111="L"&amp;E111,F111&gt;=1,F111&lt;=13,G111=""),"OK","CHECK"),IF(B111="Cavity",IF(AND(C111="L"&amp;E111&amp;"-S"&amp;TEXT(F111,"00"),F111&gt;=1,F111&lt;=13,G111&gt;=1,G111&lt;=3),"OK","CHECK"),"CHECK")))</x:f>
        <x:v>OK</x:v>
      </x:c>
    </x:row>
    <x:row r="112">
      <x:c r="A112" s="13" t="str">
        <x:v>L23-S01</x:v>
      </x:c>
      <x:c r="B112" s="13" t="str">
        <x:v>Section</x:v>
      </x:c>
      <x:c r="C112" s="13" t="str">
        <x:v>L23</x:v>
      </x:c>
      <x:c r="D112" s="13" t="str">
        <x:v>KG01</x:v>
      </x:c>
      <x:c r="E112" s="13" t="n">
        <x:v>23</x:v>
      </x:c>
      <x:c r="F112" s="13" t="n">
        <x:v>1</x:v>
      </x:c>
      <x:c r="G112" s="13"/>
      <x:c r="H112" s="13" t="str">
        <x:v>Line 23 / Section 01</x:v>
      </x:c>
      <x:c r="I112" s="13" t="n">
        <x:v>1</x:v>
      </x:c>
      <x:c r="J112" s="18" t="str">
        <x:f>IF(B112="Line",IF(AND(C112="",F112="",G112=""),"OK","CHECK"),IF(B112="Section",IF(AND(C112="L"&amp;E112,F112&gt;=1,F112&lt;=13,G112=""),"OK","CHECK"),IF(B112="Cavity",IF(AND(C112="L"&amp;E112&amp;"-S"&amp;TEXT(F112,"00"),F112&gt;=1,F112&lt;=13,G112&gt;=1,G112&lt;=3),"OK","CHECK"),"CHECK")))</x:f>
        <x:v>OK</x:v>
      </x:c>
    </x:row>
    <x:row r="113">
      <x:c r="A113" s="13" t="str">
        <x:v>L23-S01-C1</x:v>
      </x:c>
      <x:c r="B113" s="13" t="str">
        <x:v>Cavity</x:v>
      </x:c>
      <x:c r="C113" s="13" t="str">
        <x:v>L23-S01</x:v>
      </x:c>
      <x:c r="D113" s="13" t="str">
        <x:v>KG01</x:v>
      </x:c>
      <x:c r="E113" s="13" t="n">
        <x:v>23</x:v>
      </x:c>
      <x:c r="F113" s="13" t="n">
        <x:v>1</x:v>
      </x:c>
      <x:c r="G113" s="13" t="n">
        <x:v>1</x:v>
      </x:c>
      <x:c r="H113" s="13" t="str">
        <x:v>Line 23 / Section 01 / Cavity 1</x:v>
      </x:c>
      <x:c r="I113" s="13" t="n">
        <x:v>1</x:v>
      </x:c>
      <x:c r="J113" s="18" t="str">
        <x:f>IF(B113="Line",IF(AND(C113="",F113="",G113=""),"OK","CHECK"),IF(B113="Section",IF(AND(C113="L"&amp;E113,F113&gt;=1,F113&lt;=13,G113=""),"OK","CHECK"),IF(B113="Cavity",IF(AND(C113="L"&amp;E113&amp;"-S"&amp;TEXT(F113,"00"),F113&gt;=1,F113&lt;=13,G113&gt;=1,G113&lt;=3),"OK","CHECK"),"CHECK")))</x:f>
        <x:v>OK</x:v>
      </x:c>
    </x:row>
    <x:row r="114">
      <x:c r="A114" s="13" t="str">
        <x:v>L23-S01-C2</x:v>
      </x:c>
      <x:c r="B114" s="13" t="str">
        <x:v>Cavity</x:v>
      </x:c>
      <x:c r="C114" s="13" t="str">
        <x:v>L23-S01</x:v>
      </x:c>
      <x:c r="D114" s="13" t="str">
        <x:v>KG01</x:v>
      </x:c>
      <x:c r="E114" s="13" t="n">
        <x:v>23</x:v>
      </x:c>
      <x:c r="F114" s="13" t="n">
        <x:v>1</x:v>
      </x:c>
      <x:c r="G114" s="13" t="n">
        <x:v>2</x:v>
      </x:c>
      <x:c r="H114" s="13" t="str">
        <x:v>Line 23 / Section 01 / Cavity 2</x:v>
      </x:c>
      <x:c r="I114" s="13" t="n">
        <x:v>1</x:v>
      </x:c>
      <x:c r="J114" s="18" t="str">
        <x:f>IF(B114="Line",IF(AND(C114="",F114="",G114=""),"OK","CHECK"),IF(B114="Section",IF(AND(C114="L"&amp;E114,F114&gt;=1,F114&lt;=13,G114=""),"OK","CHECK"),IF(B114="Cavity",IF(AND(C114="L"&amp;E114&amp;"-S"&amp;TEXT(F114,"00"),F114&gt;=1,F114&lt;=13,G114&gt;=1,G114&lt;=3),"OK","CHECK"),"CHECK")))</x:f>
        <x:v>OK</x:v>
      </x:c>
    </x:row>
    <x:row r="115">
      <x:c r="A115" s="13" t="str">
        <x:v>L23-S01-C3</x:v>
      </x:c>
      <x:c r="B115" s="13" t="str">
        <x:v>Cavity</x:v>
      </x:c>
      <x:c r="C115" s="13" t="str">
        <x:v>L23-S01</x:v>
      </x:c>
      <x:c r="D115" s="13" t="str">
        <x:v>KG01</x:v>
      </x:c>
      <x:c r="E115" s="13" t="n">
        <x:v>23</x:v>
      </x:c>
      <x:c r="F115" s="13" t="n">
        <x:v>1</x:v>
      </x:c>
      <x:c r="G115" s="13" t="n">
        <x:v>3</x:v>
      </x:c>
      <x:c r="H115" s="13" t="str">
        <x:v>Line 23 / Section 01 / Cavity 3</x:v>
      </x:c>
      <x:c r="I115" s="13" t="n">
        <x:v>1</x:v>
      </x:c>
      <x:c r="J115" s="18" t="str">
        <x:f>IF(B115="Line",IF(AND(C115="",F115="",G115=""),"OK","CHECK"),IF(B115="Section",IF(AND(C115="L"&amp;E115,F115&gt;=1,F115&lt;=13,G115=""),"OK","CHECK"),IF(B115="Cavity",IF(AND(C115="L"&amp;E115&amp;"-S"&amp;TEXT(F115,"00"),F115&gt;=1,F115&lt;=13,G115&gt;=1,G115&lt;=3),"OK","CHECK"),"CHECK")))</x:f>
        <x:v>OK</x:v>
      </x:c>
    </x:row>
    <x:row r="116">
      <x:c r="A116" s="13" t="str">
        <x:v>L23-S02</x:v>
      </x:c>
      <x:c r="B116" s="13" t="str">
        <x:v>Section</x:v>
      </x:c>
      <x:c r="C116" s="13" t="str">
        <x:v>L23</x:v>
      </x:c>
      <x:c r="D116" s="13" t="str">
        <x:v>KG01</x:v>
      </x:c>
      <x:c r="E116" s="13" t="n">
        <x:v>23</x:v>
      </x:c>
      <x:c r="F116" s="13" t="n">
        <x:v>2</x:v>
      </x:c>
      <x:c r="G116" s="13"/>
      <x:c r="H116" s="13" t="str">
        <x:v>Line 23 / Section 02</x:v>
      </x:c>
      <x:c r="I116" s="13" t="n">
        <x:v>1</x:v>
      </x:c>
      <x:c r="J116" s="18" t="str">
        <x:f>IF(B116="Line",IF(AND(C116="",F116="",G116=""),"OK","CHECK"),IF(B116="Section",IF(AND(C116="L"&amp;E116,F116&gt;=1,F116&lt;=13,G116=""),"OK","CHECK"),IF(B116="Cavity",IF(AND(C116="L"&amp;E116&amp;"-S"&amp;TEXT(F116,"00"),F116&gt;=1,F116&lt;=13,G116&gt;=1,G116&lt;=3),"OK","CHECK"),"CHECK")))</x:f>
        <x:v>OK</x:v>
      </x:c>
    </x:row>
    <x:row r="117">
      <x:c r="A117" s="13" t="str">
        <x:v>L23-S02-C1</x:v>
      </x:c>
      <x:c r="B117" s="13" t="str">
        <x:v>Cavity</x:v>
      </x:c>
      <x:c r="C117" s="13" t="str">
        <x:v>L23-S02</x:v>
      </x:c>
      <x:c r="D117" s="13" t="str">
        <x:v>KG01</x:v>
      </x:c>
      <x:c r="E117" s="13" t="n">
        <x:v>23</x:v>
      </x:c>
      <x:c r="F117" s="13" t="n">
        <x:v>2</x:v>
      </x:c>
      <x:c r="G117" s="13" t="n">
        <x:v>1</x:v>
      </x:c>
      <x:c r="H117" s="13" t="str">
        <x:v>Line 23 / Section 02 / Cavity 1</x:v>
      </x:c>
      <x:c r="I117" s="13" t="n">
        <x:v>1</x:v>
      </x:c>
      <x:c r="J117" s="18" t="str">
        <x:f>IF(B117="Line",IF(AND(C117="",F117="",G117=""),"OK","CHECK"),IF(B117="Section",IF(AND(C117="L"&amp;E117,F117&gt;=1,F117&lt;=13,G117=""),"OK","CHECK"),IF(B117="Cavity",IF(AND(C117="L"&amp;E117&amp;"-S"&amp;TEXT(F117,"00"),F117&gt;=1,F117&lt;=13,G117&gt;=1,G117&lt;=3),"OK","CHECK"),"CHECK")))</x:f>
        <x:v>OK</x:v>
      </x:c>
    </x:row>
    <x:row r="118">
      <x:c r="A118" s="13" t="str">
        <x:v>L23-S02-C2</x:v>
      </x:c>
      <x:c r="B118" s="13" t="str">
        <x:v>Cavity</x:v>
      </x:c>
      <x:c r="C118" s="13" t="str">
        <x:v>L23-S02</x:v>
      </x:c>
      <x:c r="D118" s="13" t="str">
        <x:v>KG01</x:v>
      </x:c>
      <x:c r="E118" s="13" t="n">
        <x:v>23</x:v>
      </x:c>
      <x:c r="F118" s="13" t="n">
        <x:v>2</x:v>
      </x:c>
      <x:c r="G118" s="13" t="n">
        <x:v>2</x:v>
      </x:c>
      <x:c r="H118" s="13" t="str">
        <x:v>Line 23 / Section 02 / Cavity 2</x:v>
      </x:c>
      <x:c r="I118" s="13" t="n">
        <x:v>1</x:v>
      </x:c>
      <x:c r="J118" s="18" t="str">
        <x:f>IF(B118="Line",IF(AND(C118="",F118="",G118=""),"OK","CHECK"),IF(B118="Section",IF(AND(C118="L"&amp;E118,F118&gt;=1,F118&lt;=13,G118=""),"OK","CHECK"),IF(B118="Cavity",IF(AND(C118="L"&amp;E118&amp;"-S"&amp;TEXT(F118,"00"),F118&gt;=1,F118&lt;=13,G118&gt;=1,G118&lt;=3),"OK","CHECK"),"CHECK")))</x:f>
        <x:v>OK</x:v>
      </x:c>
    </x:row>
    <x:row r="119">
      <x:c r="A119" s="13" t="str">
        <x:v>L23-S02-C3</x:v>
      </x:c>
      <x:c r="B119" s="13" t="str">
        <x:v>Cavity</x:v>
      </x:c>
      <x:c r="C119" s="13" t="str">
        <x:v>L23-S02</x:v>
      </x:c>
      <x:c r="D119" s="13" t="str">
        <x:v>KG01</x:v>
      </x:c>
      <x:c r="E119" s="13" t="n">
        <x:v>23</x:v>
      </x:c>
      <x:c r="F119" s="13" t="n">
        <x:v>2</x:v>
      </x:c>
      <x:c r="G119" s="13" t="n">
        <x:v>3</x:v>
      </x:c>
      <x:c r="H119" s="13" t="str">
        <x:v>Line 23 / Section 02 / Cavity 3</x:v>
      </x:c>
      <x:c r="I119" s="13" t="n">
        <x:v>1</x:v>
      </x:c>
      <x:c r="J119" s="18" t="str">
        <x:f>IF(B119="Line",IF(AND(C119="",F119="",G119=""),"OK","CHECK"),IF(B119="Section",IF(AND(C119="L"&amp;E119,F119&gt;=1,F119&lt;=13,G119=""),"OK","CHECK"),IF(B119="Cavity",IF(AND(C119="L"&amp;E119&amp;"-S"&amp;TEXT(F119,"00"),F119&gt;=1,F119&lt;=13,G119&gt;=1,G119&lt;=3),"OK","CHECK"),"CHECK")))</x:f>
        <x:v>OK</x:v>
      </x:c>
    </x:row>
    <x:row r="120">
      <x:c r="A120" s="13" t="str">
        <x:v>L23-S03</x:v>
      </x:c>
      <x:c r="B120" s="13" t="str">
        <x:v>Section</x:v>
      </x:c>
      <x:c r="C120" s="13" t="str">
        <x:v>L23</x:v>
      </x:c>
      <x:c r="D120" s="13" t="str">
        <x:v>KG01</x:v>
      </x:c>
      <x:c r="E120" s="13" t="n">
        <x:v>23</x:v>
      </x:c>
      <x:c r="F120" s="13" t="n">
        <x:v>3</x:v>
      </x:c>
      <x:c r="G120" s="13"/>
      <x:c r="H120" s="13" t="str">
        <x:v>Line 23 / Section 03</x:v>
      </x:c>
      <x:c r="I120" s="13" t="n">
        <x:v>1</x:v>
      </x:c>
      <x:c r="J120" s="18" t="str">
        <x:f>IF(B120="Line",IF(AND(C120="",F120="",G120=""),"OK","CHECK"),IF(B120="Section",IF(AND(C120="L"&amp;E120,F120&gt;=1,F120&lt;=13,G120=""),"OK","CHECK"),IF(B120="Cavity",IF(AND(C120="L"&amp;E120&amp;"-S"&amp;TEXT(F120,"00"),F120&gt;=1,F120&lt;=13,G120&gt;=1,G120&lt;=3),"OK","CHECK"),"CHECK")))</x:f>
        <x:v>OK</x:v>
      </x:c>
    </x:row>
    <x:row r="121">
      <x:c r="A121" s="13" t="str">
        <x:v>L23-S03-C1</x:v>
      </x:c>
      <x:c r="B121" s="13" t="str">
        <x:v>Cavity</x:v>
      </x:c>
      <x:c r="C121" s="13" t="str">
        <x:v>L23-S03</x:v>
      </x:c>
      <x:c r="D121" s="13" t="str">
        <x:v>KG01</x:v>
      </x:c>
      <x:c r="E121" s="13" t="n">
        <x:v>23</x:v>
      </x:c>
      <x:c r="F121" s="13" t="n">
        <x:v>3</x:v>
      </x:c>
      <x:c r="G121" s="13" t="n">
        <x:v>1</x:v>
      </x:c>
      <x:c r="H121" s="13" t="str">
        <x:v>Line 23 / Section 03 / Cavity 1</x:v>
      </x:c>
      <x:c r="I121" s="13" t="n">
        <x:v>1</x:v>
      </x:c>
      <x:c r="J121" s="18" t="str">
        <x:f>IF(B121="Line",IF(AND(C121="",F121="",G121=""),"OK","CHECK"),IF(B121="Section",IF(AND(C121="L"&amp;E121,F121&gt;=1,F121&lt;=13,G121=""),"OK","CHECK"),IF(B121="Cavity",IF(AND(C121="L"&amp;E121&amp;"-S"&amp;TEXT(F121,"00"),F121&gt;=1,F121&lt;=13,G121&gt;=1,G121&lt;=3),"OK","CHECK"),"CHECK")))</x:f>
        <x:v>OK</x:v>
      </x:c>
    </x:row>
    <x:row r="122">
      <x:c r="A122" s="13" t="str">
        <x:v>L23-S03-C2</x:v>
      </x:c>
      <x:c r="B122" s="13" t="str">
        <x:v>Cavity</x:v>
      </x:c>
      <x:c r="C122" s="13" t="str">
        <x:v>L23-S03</x:v>
      </x:c>
      <x:c r="D122" s="13" t="str">
        <x:v>KG01</x:v>
      </x:c>
      <x:c r="E122" s="13" t="n">
        <x:v>23</x:v>
      </x:c>
      <x:c r="F122" s="13" t="n">
        <x:v>3</x:v>
      </x:c>
      <x:c r="G122" s="13" t="n">
        <x:v>2</x:v>
      </x:c>
      <x:c r="H122" s="13" t="str">
        <x:v>Line 23 / Section 03 / Cavity 2</x:v>
      </x:c>
      <x:c r="I122" s="13" t="n">
        <x:v>1</x:v>
      </x:c>
      <x:c r="J122" s="18" t="str">
        <x:f>IF(B122="Line",IF(AND(C122="",F122="",G122=""),"OK","CHECK"),IF(B122="Section",IF(AND(C122="L"&amp;E122,F122&gt;=1,F122&lt;=13,G122=""),"OK","CHECK"),IF(B122="Cavity",IF(AND(C122="L"&amp;E122&amp;"-S"&amp;TEXT(F122,"00"),F122&gt;=1,F122&lt;=13,G122&gt;=1,G122&lt;=3),"OK","CHECK"),"CHECK")))</x:f>
        <x:v>OK</x:v>
      </x:c>
    </x:row>
    <x:row r="123">
      <x:c r="A123" s="13" t="str">
        <x:v>L23-S03-C3</x:v>
      </x:c>
      <x:c r="B123" s="13" t="str">
        <x:v>Cavity</x:v>
      </x:c>
      <x:c r="C123" s="13" t="str">
        <x:v>L23-S03</x:v>
      </x:c>
      <x:c r="D123" s="13" t="str">
        <x:v>KG01</x:v>
      </x:c>
      <x:c r="E123" s="13" t="n">
        <x:v>23</x:v>
      </x:c>
      <x:c r="F123" s="13" t="n">
        <x:v>3</x:v>
      </x:c>
      <x:c r="G123" s="13" t="n">
        <x:v>3</x:v>
      </x:c>
      <x:c r="H123" s="13" t="str">
        <x:v>Line 23 / Section 03 / Cavity 3</x:v>
      </x:c>
      <x:c r="I123" s="13" t="n">
        <x:v>1</x:v>
      </x:c>
      <x:c r="J123" s="18" t="str">
        <x:f>IF(B123="Line",IF(AND(C123="",F123="",G123=""),"OK","CHECK"),IF(B123="Section",IF(AND(C123="L"&amp;E123,F123&gt;=1,F123&lt;=13,G123=""),"OK","CHECK"),IF(B123="Cavity",IF(AND(C123="L"&amp;E123&amp;"-S"&amp;TEXT(F123,"00"),F123&gt;=1,F123&lt;=13,G123&gt;=1,G123&lt;=3),"OK","CHECK"),"CHECK")))</x:f>
        <x:v>OK</x:v>
      </x:c>
    </x:row>
    <x:row r="124">
      <x:c r="A124" s="13" t="str">
        <x:v>L23-S04</x:v>
      </x:c>
      <x:c r="B124" s="13" t="str">
        <x:v>Section</x:v>
      </x:c>
      <x:c r="C124" s="13" t="str">
        <x:v>L23</x:v>
      </x:c>
      <x:c r="D124" s="13" t="str">
        <x:v>KG01</x:v>
      </x:c>
      <x:c r="E124" s="13" t="n">
        <x:v>23</x:v>
      </x:c>
      <x:c r="F124" s="13" t="n">
        <x:v>4</x:v>
      </x:c>
      <x:c r="G124" s="13"/>
      <x:c r="H124" s="13" t="str">
        <x:v>Line 23 / Section 04</x:v>
      </x:c>
      <x:c r="I124" s="13" t="n">
        <x:v>1</x:v>
      </x:c>
      <x:c r="J124" s="18" t="str">
        <x:f>IF(B124="Line",IF(AND(C124="",F124="",G124=""),"OK","CHECK"),IF(B124="Section",IF(AND(C124="L"&amp;E124,F124&gt;=1,F124&lt;=13,G124=""),"OK","CHECK"),IF(B124="Cavity",IF(AND(C124="L"&amp;E124&amp;"-S"&amp;TEXT(F124,"00"),F124&gt;=1,F124&lt;=13,G124&gt;=1,G124&lt;=3),"OK","CHECK"),"CHECK")))</x:f>
        <x:v>OK</x:v>
      </x:c>
    </x:row>
    <x:row r="125">
      <x:c r="A125" s="13" t="str">
        <x:v>L23-S04-C1</x:v>
      </x:c>
      <x:c r="B125" s="13" t="str">
        <x:v>Cavity</x:v>
      </x:c>
      <x:c r="C125" s="13" t="str">
        <x:v>L23-S04</x:v>
      </x:c>
      <x:c r="D125" s="13" t="str">
        <x:v>KG01</x:v>
      </x:c>
      <x:c r="E125" s="13" t="n">
        <x:v>23</x:v>
      </x:c>
      <x:c r="F125" s="13" t="n">
        <x:v>4</x:v>
      </x:c>
      <x:c r="G125" s="13" t="n">
        <x:v>1</x:v>
      </x:c>
      <x:c r="H125" s="13" t="str">
        <x:v>Line 23 / Section 04 / Cavity 1</x:v>
      </x:c>
      <x:c r="I125" s="13" t="n">
        <x:v>1</x:v>
      </x:c>
      <x:c r="J125" s="18" t="str">
        <x:f>IF(B125="Line",IF(AND(C125="",F125="",G125=""),"OK","CHECK"),IF(B125="Section",IF(AND(C125="L"&amp;E125,F125&gt;=1,F125&lt;=13,G125=""),"OK","CHECK"),IF(B125="Cavity",IF(AND(C125="L"&amp;E125&amp;"-S"&amp;TEXT(F125,"00"),F125&gt;=1,F125&lt;=13,G125&gt;=1,G125&lt;=3),"OK","CHECK"),"CHECK")))</x:f>
        <x:v>OK</x:v>
      </x:c>
    </x:row>
    <x:row r="126">
      <x:c r="A126" s="13" t="str">
        <x:v>L23-S04-C2</x:v>
      </x:c>
      <x:c r="B126" s="13" t="str">
        <x:v>Cavity</x:v>
      </x:c>
      <x:c r="C126" s="13" t="str">
        <x:v>L23-S04</x:v>
      </x:c>
      <x:c r="D126" s="13" t="str">
        <x:v>KG01</x:v>
      </x:c>
      <x:c r="E126" s="13" t="n">
        <x:v>23</x:v>
      </x:c>
      <x:c r="F126" s="13" t="n">
        <x:v>4</x:v>
      </x:c>
      <x:c r="G126" s="13" t="n">
        <x:v>2</x:v>
      </x:c>
      <x:c r="H126" s="13" t="str">
        <x:v>Line 23 / Section 04 / Cavity 2</x:v>
      </x:c>
      <x:c r="I126" s="13" t="n">
        <x:v>1</x:v>
      </x:c>
      <x:c r="J126" s="18" t="str">
        <x:f>IF(B126="Line",IF(AND(C126="",F126="",G126=""),"OK","CHECK"),IF(B126="Section",IF(AND(C126="L"&amp;E126,F126&gt;=1,F126&lt;=13,G126=""),"OK","CHECK"),IF(B126="Cavity",IF(AND(C126="L"&amp;E126&amp;"-S"&amp;TEXT(F126,"00"),F126&gt;=1,F126&lt;=13,G126&gt;=1,G126&lt;=3),"OK","CHECK"),"CHECK")))</x:f>
        <x:v>OK</x:v>
      </x:c>
    </x:row>
    <x:row r="127">
      <x:c r="A127" s="13" t="str">
        <x:v>L23-S04-C3</x:v>
      </x:c>
      <x:c r="B127" s="13" t="str">
        <x:v>Cavity</x:v>
      </x:c>
      <x:c r="C127" s="13" t="str">
        <x:v>L23-S04</x:v>
      </x:c>
      <x:c r="D127" s="13" t="str">
        <x:v>KG01</x:v>
      </x:c>
      <x:c r="E127" s="13" t="n">
        <x:v>23</x:v>
      </x:c>
      <x:c r="F127" s="13" t="n">
        <x:v>4</x:v>
      </x:c>
      <x:c r="G127" s="13" t="n">
        <x:v>3</x:v>
      </x:c>
      <x:c r="H127" s="13" t="str">
        <x:v>Line 23 / Section 04 / Cavity 3</x:v>
      </x:c>
      <x:c r="I127" s="13" t="n">
        <x:v>1</x:v>
      </x:c>
      <x:c r="J127" s="18" t="str">
        <x:f>IF(B127="Line",IF(AND(C127="",F127="",G127=""),"OK","CHECK"),IF(B127="Section",IF(AND(C127="L"&amp;E127,F127&gt;=1,F127&lt;=13,G127=""),"OK","CHECK"),IF(B127="Cavity",IF(AND(C127="L"&amp;E127&amp;"-S"&amp;TEXT(F127,"00"),F127&gt;=1,F127&lt;=13,G127&gt;=1,G127&lt;=3),"OK","CHECK"),"CHECK")))</x:f>
        <x:v>OK</x:v>
      </x:c>
    </x:row>
    <x:row r="128">
      <x:c r="A128" s="13" t="str">
        <x:v>L23-S05</x:v>
      </x:c>
      <x:c r="B128" s="13" t="str">
        <x:v>Section</x:v>
      </x:c>
      <x:c r="C128" s="13" t="str">
        <x:v>L23</x:v>
      </x:c>
      <x:c r="D128" s="13" t="str">
        <x:v>KG01</x:v>
      </x:c>
      <x:c r="E128" s="13" t="n">
        <x:v>23</x:v>
      </x:c>
      <x:c r="F128" s="13" t="n">
        <x:v>5</x:v>
      </x:c>
      <x:c r="G128" s="13"/>
      <x:c r="H128" s="13" t="str">
        <x:v>Line 23 / Section 05</x:v>
      </x:c>
      <x:c r="I128" s="13" t="n">
        <x:v>1</x:v>
      </x:c>
      <x:c r="J128" s="18" t="str">
        <x:f>IF(B128="Line",IF(AND(C128="",F128="",G128=""),"OK","CHECK"),IF(B128="Section",IF(AND(C128="L"&amp;E128,F128&gt;=1,F128&lt;=13,G128=""),"OK","CHECK"),IF(B128="Cavity",IF(AND(C128="L"&amp;E128&amp;"-S"&amp;TEXT(F128,"00"),F128&gt;=1,F128&lt;=13,G128&gt;=1,G128&lt;=3),"OK","CHECK"),"CHECK")))</x:f>
        <x:v>OK</x:v>
      </x:c>
    </x:row>
    <x:row r="129">
      <x:c r="A129" s="13" t="str">
        <x:v>L23-S05-C1</x:v>
      </x:c>
      <x:c r="B129" s="13" t="str">
        <x:v>Cavity</x:v>
      </x:c>
      <x:c r="C129" s="13" t="str">
        <x:v>L23-S05</x:v>
      </x:c>
      <x:c r="D129" s="13" t="str">
        <x:v>KG01</x:v>
      </x:c>
      <x:c r="E129" s="13" t="n">
        <x:v>23</x:v>
      </x:c>
      <x:c r="F129" s="13" t="n">
        <x:v>5</x:v>
      </x:c>
      <x:c r="G129" s="13" t="n">
        <x:v>1</x:v>
      </x:c>
      <x:c r="H129" s="13" t="str">
        <x:v>Line 23 / Section 05 / Cavity 1</x:v>
      </x:c>
      <x:c r="I129" s="13" t="n">
        <x:v>1</x:v>
      </x:c>
      <x:c r="J129" s="18" t="str">
        <x:f>IF(B129="Line",IF(AND(C129="",F129="",G129=""),"OK","CHECK"),IF(B129="Section",IF(AND(C129="L"&amp;E129,F129&gt;=1,F129&lt;=13,G129=""),"OK","CHECK"),IF(B129="Cavity",IF(AND(C129="L"&amp;E129&amp;"-S"&amp;TEXT(F129,"00"),F129&gt;=1,F129&lt;=13,G129&gt;=1,G129&lt;=3),"OK","CHECK"),"CHECK")))</x:f>
        <x:v>OK</x:v>
      </x:c>
    </x:row>
    <x:row r="130">
      <x:c r="A130" s="13" t="str">
        <x:v>L23-S05-C2</x:v>
      </x:c>
      <x:c r="B130" s="13" t="str">
        <x:v>Cavity</x:v>
      </x:c>
      <x:c r="C130" s="13" t="str">
        <x:v>L23-S05</x:v>
      </x:c>
      <x:c r="D130" s="13" t="str">
        <x:v>KG01</x:v>
      </x:c>
      <x:c r="E130" s="13" t="n">
        <x:v>23</x:v>
      </x:c>
      <x:c r="F130" s="13" t="n">
        <x:v>5</x:v>
      </x:c>
      <x:c r="G130" s="13" t="n">
        <x:v>2</x:v>
      </x:c>
      <x:c r="H130" s="13" t="str">
        <x:v>Line 23 / Section 05 / Cavity 2</x:v>
      </x:c>
      <x:c r="I130" s="13" t="n">
        <x:v>1</x:v>
      </x:c>
      <x:c r="J130" s="18" t="str">
        <x:f>IF(B130="Line",IF(AND(C130="",F130="",G130=""),"OK","CHECK"),IF(B130="Section",IF(AND(C130="L"&amp;E130,F130&gt;=1,F130&lt;=13,G130=""),"OK","CHECK"),IF(B130="Cavity",IF(AND(C130="L"&amp;E130&amp;"-S"&amp;TEXT(F130,"00"),F130&gt;=1,F130&lt;=13,G130&gt;=1,G130&lt;=3),"OK","CHECK"),"CHECK")))</x:f>
        <x:v>OK</x:v>
      </x:c>
    </x:row>
    <x:row r="131">
      <x:c r="A131" s="13" t="str">
        <x:v>L23-S05-C3</x:v>
      </x:c>
      <x:c r="B131" s="13" t="str">
        <x:v>Cavity</x:v>
      </x:c>
      <x:c r="C131" s="13" t="str">
        <x:v>L23-S05</x:v>
      </x:c>
      <x:c r="D131" s="13" t="str">
        <x:v>KG01</x:v>
      </x:c>
      <x:c r="E131" s="13" t="n">
        <x:v>23</x:v>
      </x:c>
      <x:c r="F131" s="13" t="n">
        <x:v>5</x:v>
      </x:c>
      <x:c r="G131" s="13" t="n">
        <x:v>3</x:v>
      </x:c>
      <x:c r="H131" s="13" t="str">
        <x:v>Line 23 / Section 05 / Cavity 3</x:v>
      </x:c>
      <x:c r="I131" s="13" t="n">
        <x:v>1</x:v>
      </x:c>
      <x:c r="J131" s="18" t="str">
        <x:f>IF(B131="Line",IF(AND(C131="",F131="",G131=""),"OK","CHECK"),IF(B131="Section",IF(AND(C131="L"&amp;E131,F131&gt;=1,F131&lt;=13,G131=""),"OK","CHECK"),IF(B131="Cavity",IF(AND(C131="L"&amp;E131&amp;"-S"&amp;TEXT(F131,"00"),F131&gt;=1,F131&lt;=13,G131&gt;=1,G131&lt;=3),"OK","CHECK"),"CHECK")))</x:f>
        <x:v>OK</x:v>
      </x:c>
    </x:row>
    <x:row r="132">
      <x:c r="A132" s="13" t="str">
        <x:v>L23-S06</x:v>
      </x:c>
      <x:c r="B132" s="13" t="str">
        <x:v>Section</x:v>
      </x:c>
      <x:c r="C132" s="13" t="str">
        <x:v>L23</x:v>
      </x:c>
      <x:c r="D132" s="13" t="str">
        <x:v>KG01</x:v>
      </x:c>
      <x:c r="E132" s="13" t="n">
        <x:v>23</x:v>
      </x:c>
      <x:c r="F132" s="13" t="n">
        <x:v>6</x:v>
      </x:c>
      <x:c r="G132" s="13"/>
      <x:c r="H132" s="13" t="str">
        <x:v>Line 23 / Section 06</x:v>
      </x:c>
      <x:c r="I132" s="13" t="n">
        <x:v>1</x:v>
      </x:c>
      <x:c r="J132" s="18" t="str">
        <x:f>IF(B132="Line",IF(AND(C132="",F132="",G132=""),"OK","CHECK"),IF(B132="Section",IF(AND(C132="L"&amp;E132,F132&gt;=1,F132&lt;=13,G132=""),"OK","CHECK"),IF(B132="Cavity",IF(AND(C132="L"&amp;E132&amp;"-S"&amp;TEXT(F132,"00"),F132&gt;=1,F132&lt;=13,G132&gt;=1,G132&lt;=3),"OK","CHECK"),"CHECK")))</x:f>
        <x:v>OK</x:v>
      </x:c>
    </x:row>
    <x:row r="133">
      <x:c r="A133" s="13" t="str">
        <x:v>L23-S06-C1</x:v>
      </x:c>
      <x:c r="B133" s="13" t="str">
        <x:v>Cavity</x:v>
      </x:c>
      <x:c r="C133" s="13" t="str">
        <x:v>L23-S06</x:v>
      </x:c>
      <x:c r="D133" s="13" t="str">
        <x:v>KG01</x:v>
      </x:c>
      <x:c r="E133" s="13" t="n">
        <x:v>23</x:v>
      </x:c>
      <x:c r="F133" s="13" t="n">
        <x:v>6</x:v>
      </x:c>
      <x:c r="G133" s="13" t="n">
        <x:v>1</x:v>
      </x:c>
      <x:c r="H133" s="13" t="str">
        <x:v>Line 23 / Section 06 / Cavity 1</x:v>
      </x:c>
      <x:c r="I133" s="13" t="n">
        <x:v>1</x:v>
      </x:c>
      <x:c r="J133" s="18" t="str">
        <x:f>IF(B133="Line",IF(AND(C133="",F133="",G133=""),"OK","CHECK"),IF(B133="Section",IF(AND(C133="L"&amp;E133,F133&gt;=1,F133&lt;=13,G133=""),"OK","CHECK"),IF(B133="Cavity",IF(AND(C133="L"&amp;E133&amp;"-S"&amp;TEXT(F133,"00"),F133&gt;=1,F133&lt;=13,G133&gt;=1,G133&lt;=3),"OK","CHECK"),"CHECK")))</x:f>
        <x:v>OK</x:v>
      </x:c>
    </x:row>
    <x:row r="134">
      <x:c r="A134" s="13" t="str">
        <x:v>L23-S06-C2</x:v>
      </x:c>
      <x:c r="B134" s="13" t="str">
        <x:v>Cavity</x:v>
      </x:c>
      <x:c r="C134" s="13" t="str">
        <x:v>L23-S06</x:v>
      </x:c>
      <x:c r="D134" s="13" t="str">
        <x:v>KG01</x:v>
      </x:c>
      <x:c r="E134" s="13" t="n">
        <x:v>23</x:v>
      </x:c>
      <x:c r="F134" s="13" t="n">
        <x:v>6</x:v>
      </x:c>
      <x:c r="G134" s="13" t="n">
        <x:v>2</x:v>
      </x:c>
      <x:c r="H134" s="13" t="str">
        <x:v>Line 23 / Section 06 / Cavity 2</x:v>
      </x:c>
      <x:c r="I134" s="13" t="n">
        <x:v>1</x:v>
      </x:c>
      <x:c r="J134" s="18" t="str">
        <x:f>IF(B134="Line",IF(AND(C134="",F134="",G134=""),"OK","CHECK"),IF(B134="Section",IF(AND(C134="L"&amp;E134,F134&gt;=1,F134&lt;=13,G134=""),"OK","CHECK"),IF(B134="Cavity",IF(AND(C134="L"&amp;E134&amp;"-S"&amp;TEXT(F134,"00"),F134&gt;=1,F134&lt;=13,G134&gt;=1,G134&lt;=3),"OK","CHECK"),"CHECK")))</x:f>
        <x:v>OK</x:v>
      </x:c>
    </x:row>
    <x:row r="135">
      <x:c r="A135" s="13" t="str">
        <x:v>L23-S06-C3</x:v>
      </x:c>
      <x:c r="B135" s="13" t="str">
        <x:v>Cavity</x:v>
      </x:c>
      <x:c r="C135" s="13" t="str">
        <x:v>L23-S06</x:v>
      </x:c>
      <x:c r="D135" s="13" t="str">
        <x:v>KG01</x:v>
      </x:c>
      <x:c r="E135" s="13" t="n">
        <x:v>23</x:v>
      </x:c>
      <x:c r="F135" s="13" t="n">
        <x:v>6</x:v>
      </x:c>
      <x:c r="G135" s="13" t="n">
        <x:v>3</x:v>
      </x:c>
      <x:c r="H135" s="13" t="str">
        <x:v>Line 23 / Section 06 / Cavity 3</x:v>
      </x:c>
      <x:c r="I135" s="13" t="n">
        <x:v>1</x:v>
      </x:c>
      <x:c r="J135" s="18" t="str">
        <x:f>IF(B135="Line",IF(AND(C135="",F135="",G135=""),"OK","CHECK"),IF(B135="Section",IF(AND(C135="L"&amp;E135,F135&gt;=1,F135&lt;=13,G135=""),"OK","CHECK"),IF(B135="Cavity",IF(AND(C135="L"&amp;E135&amp;"-S"&amp;TEXT(F135,"00"),F135&gt;=1,F135&lt;=13,G135&gt;=1,G135&lt;=3),"OK","CHECK"),"CHECK")))</x:f>
        <x:v>OK</x:v>
      </x:c>
    </x:row>
    <x:row r="136">
      <x:c r="A136" s="13" t="str">
        <x:v>L23-S07</x:v>
      </x:c>
      <x:c r="B136" s="13" t="str">
        <x:v>Section</x:v>
      </x:c>
      <x:c r="C136" s="13" t="str">
        <x:v>L23</x:v>
      </x:c>
      <x:c r="D136" s="13" t="str">
        <x:v>KG01</x:v>
      </x:c>
      <x:c r="E136" s="13" t="n">
        <x:v>23</x:v>
      </x:c>
      <x:c r="F136" s="13" t="n">
        <x:v>7</x:v>
      </x:c>
      <x:c r="G136" s="13"/>
      <x:c r="H136" s="13" t="str">
        <x:v>Line 23 / Section 07</x:v>
      </x:c>
      <x:c r="I136" s="13" t="n">
        <x:v>1</x:v>
      </x:c>
      <x:c r="J136" s="18" t="str">
        <x:f>IF(B136="Line",IF(AND(C136="",F136="",G136=""),"OK","CHECK"),IF(B136="Section",IF(AND(C136="L"&amp;E136,F136&gt;=1,F136&lt;=13,G136=""),"OK","CHECK"),IF(B136="Cavity",IF(AND(C136="L"&amp;E136&amp;"-S"&amp;TEXT(F136,"00"),F136&gt;=1,F136&lt;=13,G136&gt;=1,G136&lt;=3),"OK","CHECK"),"CHECK")))</x:f>
        <x:v>OK</x:v>
      </x:c>
    </x:row>
    <x:row r="137">
      <x:c r="A137" s="13" t="str">
        <x:v>L23-S07-C1</x:v>
      </x:c>
      <x:c r="B137" s="13" t="str">
        <x:v>Cavity</x:v>
      </x:c>
      <x:c r="C137" s="13" t="str">
        <x:v>L23-S07</x:v>
      </x:c>
      <x:c r="D137" s="13" t="str">
        <x:v>KG01</x:v>
      </x:c>
      <x:c r="E137" s="13" t="n">
        <x:v>23</x:v>
      </x:c>
      <x:c r="F137" s="13" t="n">
        <x:v>7</x:v>
      </x:c>
      <x:c r="G137" s="13" t="n">
        <x:v>1</x:v>
      </x:c>
      <x:c r="H137" s="13" t="str">
        <x:v>Line 23 / Section 07 / Cavity 1</x:v>
      </x:c>
      <x:c r="I137" s="13" t="n">
        <x:v>1</x:v>
      </x:c>
      <x:c r="J137" s="18" t="str">
        <x:f>IF(B137="Line",IF(AND(C137="",F137="",G137=""),"OK","CHECK"),IF(B137="Section",IF(AND(C137="L"&amp;E137,F137&gt;=1,F137&lt;=13,G137=""),"OK","CHECK"),IF(B137="Cavity",IF(AND(C137="L"&amp;E137&amp;"-S"&amp;TEXT(F137,"00"),F137&gt;=1,F137&lt;=13,G137&gt;=1,G137&lt;=3),"OK","CHECK"),"CHECK")))</x:f>
        <x:v>OK</x:v>
      </x:c>
    </x:row>
    <x:row r="138">
      <x:c r="A138" s="13" t="str">
        <x:v>L23-S07-C2</x:v>
      </x:c>
      <x:c r="B138" s="13" t="str">
        <x:v>Cavity</x:v>
      </x:c>
      <x:c r="C138" s="13" t="str">
        <x:v>L23-S07</x:v>
      </x:c>
      <x:c r="D138" s="13" t="str">
        <x:v>KG01</x:v>
      </x:c>
      <x:c r="E138" s="13" t="n">
        <x:v>23</x:v>
      </x:c>
      <x:c r="F138" s="13" t="n">
        <x:v>7</x:v>
      </x:c>
      <x:c r="G138" s="13" t="n">
        <x:v>2</x:v>
      </x:c>
      <x:c r="H138" s="13" t="str">
        <x:v>Line 23 / Section 07 / Cavity 2</x:v>
      </x:c>
      <x:c r="I138" s="13" t="n">
        <x:v>1</x:v>
      </x:c>
      <x:c r="J138" s="18" t="str">
        <x:f>IF(B138="Line",IF(AND(C138="",F138="",G138=""),"OK","CHECK"),IF(B138="Section",IF(AND(C138="L"&amp;E138,F138&gt;=1,F138&lt;=13,G138=""),"OK","CHECK"),IF(B138="Cavity",IF(AND(C138="L"&amp;E138&amp;"-S"&amp;TEXT(F138,"00"),F138&gt;=1,F138&lt;=13,G138&gt;=1,G138&lt;=3),"OK","CHECK"),"CHECK")))</x:f>
        <x:v>OK</x:v>
      </x:c>
    </x:row>
    <x:row r="139">
      <x:c r="A139" s="13" t="str">
        <x:v>L23-S07-C3</x:v>
      </x:c>
      <x:c r="B139" s="13" t="str">
        <x:v>Cavity</x:v>
      </x:c>
      <x:c r="C139" s="13" t="str">
        <x:v>L23-S07</x:v>
      </x:c>
      <x:c r="D139" s="13" t="str">
        <x:v>KG01</x:v>
      </x:c>
      <x:c r="E139" s="13" t="n">
        <x:v>23</x:v>
      </x:c>
      <x:c r="F139" s="13" t="n">
        <x:v>7</x:v>
      </x:c>
      <x:c r="G139" s="13" t="n">
        <x:v>3</x:v>
      </x:c>
      <x:c r="H139" s="13" t="str">
        <x:v>Line 23 / Section 07 / Cavity 3</x:v>
      </x:c>
      <x:c r="I139" s="13" t="n">
        <x:v>1</x:v>
      </x:c>
      <x:c r="J139" s="18" t="str">
        <x:f>IF(B139="Line",IF(AND(C139="",F139="",G139=""),"OK","CHECK"),IF(B139="Section",IF(AND(C139="L"&amp;E139,F139&gt;=1,F139&lt;=13,G139=""),"OK","CHECK"),IF(B139="Cavity",IF(AND(C139="L"&amp;E139&amp;"-S"&amp;TEXT(F139,"00"),F139&gt;=1,F139&lt;=13,G139&gt;=1,G139&lt;=3),"OK","CHECK"),"CHECK")))</x:f>
        <x:v>OK</x:v>
      </x:c>
    </x:row>
    <x:row r="140">
      <x:c r="A140" s="13" t="str">
        <x:v>L23-S08</x:v>
      </x:c>
      <x:c r="B140" s="13" t="str">
        <x:v>Section</x:v>
      </x:c>
      <x:c r="C140" s="13" t="str">
        <x:v>L23</x:v>
      </x:c>
      <x:c r="D140" s="13" t="str">
        <x:v>KG01</x:v>
      </x:c>
      <x:c r="E140" s="13" t="n">
        <x:v>23</x:v>
      </x:c>
      <x:c r="F140" s="13" t="n">
        <x:v>8</x:v>
      </x:c>
      <x:c r="G140" s="13"/>
      <x:c r="H140" s="13" t="str">
        <x:v>Line 23 / Section 08</x:v>
      </x:c>
      <x:c r="I140" s="13" t="n">
        <x:v>1</x:v>
      </x:c>
      <x:c r="J140" s="18" t="str">
        <x:f>IF(B140="Line",IF(AND(C140="",F140="",G140=""),"OK","CHECK"),IF(B140="Section",IF(AND(C140="L"&amp;E140,F140&gt;=1,F140&lt;=13,G140=""),"OK","CHECK"),IF(B140="Cavity",IF(AND(C140="L"&amp;E140&amp;"-S"&amp;TEXT(F140,"00"),F140&gt;=1,F140&lt;=13,G140&gt;=1,G140&lt;=3),"OK","CHECK"),"CHECK")))</x:f>
        <x:v>OK</x:v>
      </x:c>
    </x:row>
    <x:row r="141">
      <x:c r="A141" s="13" t="str">
        <x:v>L23-S08-C1</x:v>
      </x:c>
      <x:c r="B141" s="13" t="str">
        <x:v>Cavity</x:v>
      </x:c>
      <x:c r="C141" s="13" t="str">
        <x:v>L23-S08</x:v>
      </x:c>
      <x:c r="D141" s="13" t="str">
        <x:v>KG01</x:v>
      </x:c>
      <x:c r="E141" s="13" t="n">
        <x:v>23</x:v>
      </x:c>
      <x:c r="F141" s="13" t="n">
        <x:v>8</x:v>
      </x:c>
      <x:c r="G141" s="13" t="n">
        <x:v>1</x:v>
      </x:c>
      <x:c r="H141" s="13" t="str">
        <x:v>Line 23 / Section 08 / Cavity 1</x:v>
      </x:c>
      <x:c r="I141" s="13" t="n">
        <x:v>1</x:v>
      </x:c>
      <x:c r="J141" s="18" t="str">
        <x:f>IF(B141="Line",IF(AND(C141="",F141="",G141=""),"OK","CHECK"),IF(B141="Section",IF(AND(C141="L"&amp;E141,F141&gt;=1,F141&lt;=13,G141=""),"OK","CHECK"),IF(B141="Cavity",IF(AND(C141="L"&amp;E141&amp;"-S"&amp;TEXT(F141,"00"),F141&gt;=1,F141&lt;=13,G141&gt;=1,G141&lt;=3),"OK","CHECK"),"CHECK")))</x:f>
        <x:v>OK</x:v>
      </x:c>
    </x:row>
    <x:row r="142">
      <x:c r="A142" s="13" t="str">
        <x:v>L23-S08-C2</x:v>
      </x:c>
      <x:c r="B142" s="13" t="str">
        <x:v>Cavity</x:v>
      </x:c>
      <x:c r="C142" s="13" t="str">
        <x:v>L23-S08</x:v>
      </x:c>
      <x:c r="D142" s="13" t="str">
        <x:v>KG01</x:v>
      </x:c>
      <x:c r="E142" s="13" t="n">
        <x:v>23</x:v>
      </x:c>
      <x:c r="F142" s="13" t="n">
        <x:v>8</x:v>
      </x:c>
      <x:c r="G142" s="13" t="n">
        <x:v>2</x:v>
      </x:c>
      <x:c r="H142" s="13" t="str">
        <x:v>Line 23 / Section 08 / Cavity 2</x:v>
      </x:c>
      <x:c r="I142" s="13" t="n">
        <x:v>1</x:v>
      </x:c>
      <x:c r="J142" s="18" t="str">
        <x:f>IF(B142="Line",IF(AND(C142="",F142="",G142=""),"OK","CHECK"),IF(B142="Section",IF(AND(C142="L"&amp;E142,F142&gt;=1,F142&lt;=13,G142=""),"OK","CHECK"),IF(B142="Cavity",IF(AND(C142="L"&amp;E142&amp;"-S"&amp;TEXT(F142,"00"),F142&gt;=1,F142&lt;=13,G142&gt;=1,G142&lt;=3),"OK","CHECK"),"CHECK")))</x:f>
        <x:v>OK</x:v>
      </x:c>
    </x:row>
    <x:row r="143">
      <x:c r="A143" s="13" t="str">
        <x:v>L23-S08-C3</x:v>
      </x:c>
      <x:c r="B143" s="13" t="str">
        <x:v>Cavity</x:v>
      </x:c>
      <x:c r="C143" s="13" t="str">
        <x:v>L23-S08</x:v>
      </x:c>
      <x:c r="D143" s="13" t="str">
        <x:v>KG01</x:v>
      </x:c>
      <x:c r="E143" s="13" t="n">
        <x:v>23</x:v>
      </x:c>
      <x:c r="F143" s="13" t="n">
        <x:v>8</x:v>
      </x:c>
      <x:c r="G143" s="13" t="n">
        <x:v>3</x:v>
      </x:c>
      <x:c r="H143" s="13" t="str">
        <x:v>Line 23 / Section 08 / Cavity 3</x:v>
      </x:c>
      <x:c r="I143" s="13" t="n">
        <x:v>1</x:v>
      </x:c>
      <x:c r="J143" s="18" t="str">
        <x:f>IF(B143="Line",IF(AND(C143="",F143="",G143=""),"OK","CHECK"),IF(B143="Section",IF(AND(C143="L"&amp;E143,F143&gt;=1,F143&lt;=13,G143=""),"OK","CHECK"),IF(B143="Cavity",IF(AND(C143="L"&amp;E143&amp;"-S"&amp;TEXT(F143,"00"),F143&gt;=1,F143&lt;=13,G143&gt;=1,G143&lt;=3),"OK","CHECK"),"CHECK")))</x:f>
        <x:v>OK</x:v>
      </x:c>
    </x:row>
    <x:row r="144">
      <x:c r="A144" s="13" t="str">
        <x:v>L23-S09</x:v>
      </x:c>
      <x:c r="B144" s="13" t="str">
        <x:v>Section</x:v>
      </x:c>
      <x:c r="C144" s="13" t="str">
        <x:v>L23</x:v>
      </x:c>
      <x:c r="D144" s="13" t="str">
        <x:v>KG01</x:v>
      </x:c>
      <x:c r="E144" s="13" t="n">
        <x:v>23</x:v>
      </x:c>
      <x:c r="F144" s="13" t="n">
        <x:v>9</x:v>
      </x:c>
      <x:c r="G144" s="13"/>
      <x:c r="H144" s="13" t="str">
        <x:v>Line 23 / Section 09</x:v>
      </x:c>
      <x:c r="I144" s="13" t="n">
        <x:v>1</x:v>
      </x:c>
      <x:c r="J144" s="18" t="str">
        <x:f>IF(B144="Line",IF(AND(C144="",F144="",G144=""),"OK","CHECK"),IF(B144="Section",IF(AND(C144="L"&amp;E144,F144&gt;=1,F144&lt;=13,G144=""),"OK","CHECK"),IF(B144="Cavity",IF(AND(C144="L"&amp;E144&amp;"-S"&amp;TEXT(F144,"00"),F144&gt;=1,F144&lt;=13,G144&gt;=1,G144&lt;=3),"OK","CHECK"),"CHECK")))</x:f>
        <x:v>OK</x:v>
      </x:c>
    </x:row>
    <x:row r="145">
      <x:c r="A145" s="13" t="str">
        <x:v>L23-S09-C1</x:v>
      </x:c>
      <x:c r="B145" s="13" t="str">
        <x:v>Cavity</x:v>
      </x:c>
      <x:c r="C145" s="13" t="str">
        <x:v>L23-S09</x:v>
      </x:c>
      <x:c r="D145" s="13" t="str">
        <x:v>KG01</x:v>
      </x:c>
      <x:c r="E145" s="13" t="n">
        <x:v>23</x:v>
      </x:c>
      <x:c r="F145" s="13" t="n">
        <x:v>9</x:v>
      </x:c>
      <x:c r="G145" s="13" t="n">
        <x:v>1</x:v>
      </x:c>
      <x:c r="H145" s="13" t="str">
        <x:v>Line 23 / Section 09 / Cavity 1</x:v>
      </x:c>
      <x:c r="I145" s="13" t="n">
        <x:v>1</x:v>
      </x:c>
      <x:c r="J145" s="18" t="str">
        <x:f>IF(B145="Line",IF(AND(C145="",F145="",G145=""),"OK","CHECK"),IF(B145="Section",IF(AND(C145="L"&amp;E145,F145&gt;=1,F145&lt;=13,G145=""),"OK","CHECK"),IF(B145="Cavity",IF(AND(C145="L"&amp;E145&amp;"-S"&amp;TEXT(F145,"00"),F145&gt;=1,F145&lt;=13,G145&gt;=1,G145&lt;=3),"OK","CHECK"),"CHECK")))</x:f>
        <x:v>OK</x:v>
      </x:c>
    </x:row>
    <x:row r="146">
      <x:c r="A146" s="13" t="str">
        <x:v>L23-S09-C2</x:v>
      </x:c>
      <x:c r="B146" s="13" t="str">
        <x:v>Cavity</x:v>
      </x:c>
      <x:c r="C146" s="13" t="str">
        <x:v>L23-S09</x:v>
      </x:c>
      <x:c r="D146" s="13" t="str">
        <x:v>KG01</x:v>
      </x:c>
      <x:c r="E146" s="13" t="n">
        <x:v>23</x:v>
      </x:c>
      <x:c r="F146" s="13" t="n">
        <x:v>9</x:v>
      </x:c>
      <x:c r="G146" s="13" t="n">
        <x:v>2</x:v>
      </x:c>
      <x:c r="H146" s="13" t="str">
        <x:v>Line 23 / Section 09 / Cavity 2</x:v>
      </x:c>
      <x:c r="I146" s="13" t="n">
        <x:v>1</x:v>
      </x:c>
      <x:c r="J146" s="18" t="str">
        <x:f>IF(B146="Line",IF(AND(C146="",F146="",G146=""),"OK","CHECK"),IF(B146="Section",IF(AND(C146="L"&amp;E146,F146&gt;=1,F146&lt;=13,G146=""),"OK","CHECK"),IF(B146="Cavity",IF(AND(C146="L"&amp;E146&amp;"-S"&amp;TEXT(F146,"00"),F146&gt;=1,F146&lt;=13,G146&gt;=1,G146&lt;=3),"OK","CHECK"),"CHECK")))</x:f>
        <x:v>OK</x:v>
      </x:c>
    </x:row>
    <x:row r="147">
      <x:c r="A147" s="13" t="str">
        <x:v>L23-S09-C3</x:v>
      </x:c>
      <x:c r="B147" s="13" t="str">
        <x:v>Cavity</x:v>
      </x:c>
      <x:c r="C147" s="13" t="str">
        <x:v>L23-S09</x:v>
      </x:c>
      <x:c r="D147" s="13" t="str">
        <x:v>KG01</x:v>
      </x:c>
      <x:c r="E147" s="13" t="n">
        <x:v>23</x:v>
      </x:c>
      <x:c r="F147" s="13" t="n">
        <x:v>9</x:v>
      </x:c>
      <x:c r="G147" s="13" t="n">
        <x:v>3</x:v>
      </x:c>
      <x:c r="H147" s="13" t="str">
        <x:v>Line 23 / Section 09 / Cavity 3</x:v>
      </x:c>
      <x:c r="I147" s="13" t="n">
        <x:v>1</x:v>
      </x:c>
      <x:c r="J147" s="18" t="str">
        <x:f>IF(B147="Line",IF(AND(C147="",F147="",G147=""),"OK","CHECK"),IF(B147="Section",IF(AND(C147="L"&amp;E147,F147&gt;=1,F147&lt;=13,G147=""),"OK","CHECK"),IF(B147="Cavity",IF(AND(C147="L"&amp;E147&amp;"-S"&amp;TEXT(F147,"00"),F147&gt;=1,F147&lt;=13,G147&gt;=1,G147&lt;=3),"OK","CHECK"),"CHECK")))</x:f>
        <x:v>OK</x:v>
      </x:c>
    </x:row>
    <x:row r="148">
      <x:c r="A148" s="13" t="str">
        <x:v>L23-S10</x:v>
      </x:c>
      <x:c r="B148" s="13" t="str">
        <x:v>Section</x:v>
      </x:c>
      <x:c r="C148" s="13" t="str">
        <x:v>L23</x:v>
      </x:c>
      <x:c r="D148" s="13" t="str">
        <x:v>KG01</x:v>
      </x:c>
      <x:c r="E148" s="13" t="n">
        <x:v>23</x:v>
      </x:c>
      <x:c r="F148" s="13" t="n">
        <x:v>10</x:v>
      </x:c>
      <x:c r="G148" s="13"/>
      <x:c r="H148" s="13" t="str">
        <x:v>Line 23 / Section 10</x:v>
      </x:c>
      <x:c r="I148" s="13" t="n">
        <x:v>1</x:v>
      </x:c>
      <x:c r="J148" s="18" t="str">
        <x:f>IF(B148="Line",IF(AND(C148="",F148="",G148=""),"OK","CHECK"),IF(B148="Section",IF(AND(C148="L"&amp;E148,F148&gt;=1,F148&lt;=13,G148=""),"OK","CHECK"),IF(B148="Cavity",IF(AND(C148="L"&amp;E148&amp;"-S"&amp;TEXT(F148,"00"),F148&gt;=1,F148&lt;=13,G148&gt;=1,G148&lt;=3),"OK","CHECK"),"CHECK")))</x:f>
        <x:v>OK</x:v>
      </x:c>
    </x:row>
    <x:row r="149">
      <x:c r="A149" s="13" t="str">
        <x:v>L23-S10-C1</x:v>
      </x:c>
      <x:c r="B149" s="13" t="str">
        <x:v>Cavity</x:v>
      </x:c>
      <x:c r="C149" s="13" t="str">
        <x:v>L23-S10</x:v>
      </x:c>
      <x:c r="D149" s="13" t="str">
        <x:v>KG01</x:v>
      </x:c>
      <x:c r="E149" s="13" t="n">
        <x:v>23</x:v>
      </x:c>
      <x:c r="F149" s="13" t="n">
        <x:v>10</x:v>
      </x:c>
      <x:c r="G149" s="13" t="n">
        <x:v>1</x:v>
      </x:c>
      <x:c r="H149" s="13" t="str">
        <x:v>Line 23 / Section 10 / Cavity 1</x:v>
      </x:c>
      <x:c r="I149" s="13" t="n">
        <x:v>1</x:v>
      </x:c>
      <x:c r="J149" s="18" t="str">
        <x:f>IF(B149="Line",IF(AND(C149="",F149="",G149=""),"OK","CHECK"),IF(B149="Section",IF(AND(C149="L"&amp;E149,F149&gt;=1,F149&lt;=13,G149=""),"OK","CHECK"),IF(B149="Cavity",IF(AND(C149="L"&amp;E149&amp;"-S"&amp;TEXT(F149,"00"),F149&gt;=1,F149&lt;=13,G149&gt;=1,G149&lt;=3),"OK","CHECK"),"CHECK")))</x:f>
        <x:v>OK</x:v>
      </x:c>
    </x:row>
    <x:row r="150">
      <x:c r="A150" s="13" t="str">
        <x:v>L23-S10-C2</x:v>
      </x:c>
      <x:c r="B150" s="13" t="str">
        <x:v>Cavity</x:v>
      </x:c>
      <x:c r="C150" s="13" t="str">
        <x:v>L23-S10</x:v>
      </x:c>
      <x:c r="D150" s="13" t="str">
        <x:v>KG01</x:v>
      </x:c>
      <x:c r="E150" s="13" t="n">
        <x:v>23</x:v>
      </x:c>
      <x:c r="F150" s="13" t="n">
        <x:v>10</x:v>
      </x:c>
      <x:c r="G150" s="13" t="n">
        <x:v>2</x:v>
      </x:c>
      <x:c r="H150" s="13" t="str">
        <x:v>Line 23 / Section 10 / Cavity 2</x:v>
      </x:c>
      <x:c r="I150" s="13" t="n">
        <x:v>1</x:v>
      </x:c>
      <x:c r="J150" s="18" t="str">
        <x:f>IF(B150="Line",IF(AND(C150="",F150="",G150=""),"OK","CHECK"),IF(B150="Section",IF(AND(C150="L"&amp;E150,F150&gt;=1,F150&lt;=13,G150=""),"OK","CHECK"),IF(B150="Cavity",IF(AND(C150="L"&amp;E150&amp;"-S"&amp;TEXT(F150,"00"),F150&gt;=1,F150&lt;=13,G150&gt;=1,G150&lt;=3),"OK","CHECK"),"CHECK")))</x:f>
        <x:v>OK</x:v>
      </x:c>
    </x:row>
    <x:row r="151">
      <x:c r="A151" s="13" t="str">
        <x:v>L23-S10-C3</x:v>
      </x:c>
      <x:c r="B151" s="13" t="str">
        <x:v>Cavity</x:v>
      </x:c>
      <x:c r="C151" s="13" t="str">
        <x:v>L23-S10</x:v>
      </x:c>
      <x:c r="D151" s="13" t="str">
        <x:v>KG01</x:v>
      </x:c>
      <x:c r="E151" s="13" t="n">
        <x:v>23</x:v>
      </x:c>
      <x:c r="F151" s="13" t="n">
        <x:v>10</x:v>
      </x:c>
      <x:c r="G151" s="13" t="n">
        <x:v>3</x:v>
      </x:c>
      <x:c r="H151" s="13" t="str">
        <x:v>Line 23 / Section 10 / Cavity 3</x:v>
      </x:c>
      <x:c r="I151" s="13" t="n">
        <x:v>1</x:v>
      </x:c>
      <x:c r="J151" s="18" t="str">
        <x:f>IF(B151="Line",IF(AND(C151="",F151="",G151=""),"OK","CHECK"),IF(B151="Section",IF(AND(C151="L"&amp;E151,F151&gt;=1,F151&lt;=13,G151=""),"OK","CHECK"),IF(B151="Cavity",IF(AND(C151="L"&amp;E151&amp;"-S"&amp;TEXT(F151,"00"),F151&gt;=1,F151&lt;=13,G151&gt;=1,G151&lt;=3),"OK","CHECK"),"CHECK")))</x:f>
        <x:v>OK</x:v>
      </x:c>
    </x:row>
    <x:row r="152">
      <x:c r="A152" s="13" t="str">
        <x:v>L23-S11</x:v>
      </x:c>
      <x:c r="B152" s="13" t="str">
        <x:v>Section</x:v>
      </x:c>
      <x:c r="C152" s="13" t="str">
        <x:v>L23</x:v>
      </x:c>
      <x:c r="D152" s="13" t="str">
        <x:v>KG01</x:v>
      </x:c>
      <x:c r="E152" s="13" t="n">
        <x:v>23</x:v>
      </x:c>
      <x:c r="F152" s="13" t="n">
        <x:v>11</x:v>
      </x:c>
      <x:c r="G152" s="13"/>
      <x:c r="H152" s="13" t="str">
        <x:v>Line 23 / Section 11</x:v>
      </x:c>
      <x:c r="I152" s="13" t="n">
        <x:v>1</x:v>
      </x:c>
      <x:c r="J152" s="18" t="str">
        <x:f>IF(B152="Line",IF(AND(C152="",F152="",G152=""),"OK","CHECK"),IF(B152="Section",IF(AND(C152="L"&amp;E152,F152&gt;=1,F152&lt;=13,G152=""),"OK","CHECK"),IF(B152="Cavity",IF(AND(C152="L"&amp;E152&amp;"-S"&amp;TEXT(F152,"00"),F152&gt;=1,F152&lt;=13,G152&gt;=1,G152&lt;=3),"OK","CHECK"),"CHECK")))</x:f>
        <x:v>OK</x:v>
      </x:c>
    </x:row>
    <x:row r="153">
      <x:c r="A153" s="13" t="str">
        <x:v>L23-S11-C1</x:v>
      </x:c>
      <x:c r="B153" s="13" t="str">
        <x:v>Cavity</x:v>
      </x:c>
      <x:c r="C153" s="13" t="str">
        <x:v>L23-S11</x:v>
      </x:c>
      <x:c r="D153" s="13" t="str">
        <x:v>KG01</x:v>
      </x:c>
      <x:c r="E153" s="13" t="n">
        <x:v>23</x:v>
      </x:c>
      <x:c r="F153" s="13" t="n">
        <x:v>11</x:v>
      </x:c>
      <x:c r="G153" s="13" t="n">
        <x:v>1</x:v>
      </x:c>
      <x:c r="H153" s="13" t="str">
        <x:v>Line 23 / Section 11 / Cavity 1</x:v>
      </x:c>
      <x:c r="I153" s="13" t="n">
        <x:v>1</x:v>
      </x:c>
      <x:c r="J153" s="18" t="str">
        <x:f>IF(B153="Line",IF(AND(C153="",F153="",G153=""),"OK","CHECK"),IF(B153="Section",IF(AND(C153="L"&amp;E153,F153&gt;=1,F153&lt;=13,G153=""),"OK","CHECK"),IF(B153="Cavity",IF(AND(C153="L"&amp;E153&amp;"-S"&amp;TEXT(F153,"00"),F153&gt;=1,F153&lt;=13,G153&gt;=1,G153&lt;=3),"OK","CHECK"),"CHECK")))</x:f>
        <x:v>OK</x:v>
      </x:c>
    </x:row>
    <x:row r="154">
      <x:c r="A154" s="13" t="str">
        <x:v>L23-S11-C2</x:v>
      </x:c>
      <x:c r="B154" s="13" t="str">
        <x:v>Cavity</x:v>
      </x:c>
      <x:c r="C154" s="13" t="str">
        <x:v>L23-S11</x:v>
      </x:c>
      <x:c r="D154" s="13" t="str">
        <x:v>KG01</x:v>
      </x:c>
      <x:c r="E154" s="13" t="n">
        <x:v>23</x:v>
      </x:c>
      <x:c r="F154" s="13" t="n">
        <x:v>11</x:v>
      </x:c>
      <x:c r="G154" s="13" t="n">
        <x:v>2</x:v>
      </x:c>
      <x:c r="H154" s="13" t="str">
        <x:v>Line 23 / Section 11 / Cavity 2</x:v>
      </x:c>
      <x:c r="I154" s="13" t="n">
        <x:v>1</x:v>
      </x:c>
      <x:c r="J154" s="18" t="str">
        <x:f>IF(B154="Line",IF(AND(C154="",F154="",G154=""),"OK","CHECK"),IF(B154="Section",IF(AND(C154="L"&amp;E154,F154&gt;=1,F154&lt;=13,G154=""),"OK","CHECK"),IF(B154="Cavity",IF(AND(C154="L"&amp;E154&amp;"-S"&amp;TEXT(F154,"00"),F154&gt;=1,F154&lt;=13,G154&gt;=1,G154&lt;=3),"OK","CHECK"),"CHECK")))</x:f>
        <x:v>OK</x:v>
      </x:c>
    </x:row>
    <x:row r="155">
      <x:c r="A155" s="13" t="str">
        <x:v>L23-S11-C3</x:v>
      </x:c>
      <x:c r="B155" s="13" t="str">
        <x:v>Cavity</x:v>
      </x:c>
      <x:c r="C155" s="13" t="str">
        <x:v>L23-S11</x:v>
      </x:c>
      <x:c r="D155" s="13" t="str">
        <x:v>KG01</x:v>
      </x:c>
      <x:c r="E155" s="13" t="n">
        <x:v>23</x:v>
      </x:c>
      <x:c r="F155" s="13" t="n">
        <x:v>11</x:v>
      </x:c>
      <x:c r="G155" s="13" t="n">
        <x:v>3</x:v>
      </x:c>
      <x:c r="H155" s="13" t="str">
        <x:v>Line 23 / Section 11 / Cavity 3</x:v>
      </x:c>
      <x:c r="I155" s="13" t="n">
        <x:v>1</x:v>
      </x:c>
      <x:c r="J155" s="18" t="str">
        <x:f>IF(B155="Line",IF(AND(C155="",F155="",G155=""),"OK","CHECK"),IF(B155="Section",IF(AND(C155="L"&amp;E155,F155&gt;=1,F155&lt;=13,G155=""),"OK","CHECK"),IF(B155="Cavity",IF(AND(C155="L"&amp;E155&amp;"-S"&amp;TEXT(F155,"00"),F155&gt;=1,F155&lt;=13,G155&gt;=1,G155&lt;=3),"OK","CHECK"),"CHECK")))</x:f>
        <x:v>OK</x:v>
      </x:c>
    </x:row>
    <x:row r="156">
      <x:c r="A156" s="13" t="str">
        <x:v>L23-S12</x:v>
      </x:c>
      <x:c r="B156" s="13" t="str">
        <x:v>Section</x:v>
      </x:c>
      <x:c r="C156" s="13" t="str">
        <x:v>L23</x:v>
      </x:c>
      <x:c r="D156" s="13" t="str">
        <x:v>KG01</x:v>
      </x:c>
      <x:c r="E156" s="13" t="n">
        <x:v>23</x:v>
      </x:c>
      <x:c r="F156" s="13" t="n">
        <x:v>12</x:v>
      </x:c>
      <x:c r="G156" s="13"/>
      <x:c r="H156" s="13" t="str">
        <x:v>Line 23 / Section 12</x:v>
      </x:c>
      <x:c r="I156" s="13" t="n">
        <x:v>1</x:v>
      </x:c>
      <x:c r="J156" s="18" t="str">
        <x:f>IF(B156="Line",IF(AND(C156="",F156="",G156=""),"OK","CHECK"),IF(B156="Section",IF(AND(C156="L"&amp;E156,F156&gt;=1,F156&lt;=13,G156=""),"OK","CHECK"),IF(B156="Cavity",IF(AND(C156="L"&amp;E156&amp;"-S"&amp;TEXT(F156,"00"),F156&gt;=1,F156&lt;=13,G156&gt;=1,G156&lt;=3),"OK","CHECK"),"CHECK")))</x:f>
        <x:v>OK</x:v>
      </x:c>
    </x:row>
    <x:row r="157">
      <x:c r="A157" s="13" t="str">
        <x:v>L23-S12-C1</x:v>
      </x:c>
      <x:c r="B157" s="13" t="str">
        <x:v>Cavity</x:v>
      </x:c>
      <x:c r="C157" s="13" t="str">
        <x:v>L23-S12</x:v>
      </x:c>
      <x:c r="D157" s="13" t="str">
        <x:v>KG01</x:v>
      </x:c>
      <x:c r="E157" s="13" t="n">
        <x:v>23</x:v>
      </x:c>
      <x:c r="F157" s="13" t="n">
        <x:v>12</x:v>
      </x:c>
      <x:c r="G157" s="13" t="n">
        <x:v>1</x:v>
      </x:c>
      <x:c r="H157" s="13" t="str">
        <x:v>Line 23 / Section 12 / Cavity 1</x:v>
      </x:c>
      <x:c r="I157" s="13" t="n">
        <x:v>1</x:v>
      </x:c>
      <x:c r="J157" s="18" t="str">
        <x:f>IF(B157="Line",IF(AND(C157="",F157="",G157=""),"OK","CHECK"),IF(B157="Section",IF(AND(C157="L"&amp;E157,F157&gt;=1,F157&lt;=13,G157=""),"OK","CHECK"),IF(B157="Cavity",IF(AND(C157="L"&amp;E157&amp;"-S"&amp;TEXT(F157,"00"),F157&gt;=1,F157&lt;=13,G157&gt;=1,G157&lt;=3),"OK","CHECK"),"CHECK")))</x:f>
        <x:v>OK</x:v>
      </x:c>
    </x:row>
    <x:row r="158">
      <x:c r="A158" s="13" t="str">
        <x:v>L23-S12-C2</x:v>
      </x:c>
      <x:c r="B158" s="13" t="str">
        <x:v>Cavity</x:v>
      </x:c>
      <x:c r="C158" s="13" t="str">
        <x:v>L23-S12</x:v>
      </x:c>
      <x:c r="D158" s="13" t="str">
        <x:v>KG01</x:v>
      </x:c>
      <x:c r="E158" s="13" t="n">
        <x:v>23</x:v>
      </x:c>
      <x:c r="F158" s="13" t="n">
        <x:v>12</x:v>
      </x:c>
      <x:c r="G158" s="13" t="n">
        <x:v>2</x:v>
      </x:c>
      <x:c r="H158" s="13" t="str">
        <x:v>Line 23 / Section 12 / Cavity 2</x:v>
      </x:c>
      <x:c r="I158" s="13" t="n">
        <x:v>1</x:v>
      </x:c>
      <x:c r="J158" s="18" t="str">
        <x:f>IF(B158="Line",IF(AND(C158="",F158="",G158=""),"OK","CHECK"),IF(B158="Section",IF(AND(C158="L"&amp;E158,F158&gt;=1,F158&lt;=13,G158=""),"OK","CHECK"),IF(B158="Cavity",IF(AND(C158="L"&amp;E158&amp;"-S"&amp;TEXT(F158,"00"),F158&gt;=1,F158&lt;=13,G158&gt;=1,G158&lt;=3),"OK","CHECK"),"CHECK")))</x:f>
        <x:v>OK</x:v>
      </x:c>
    </x:row>
    <x:row r="159">
      <x:c r="A159" s="13" t="str">
        <x:v>L23-S12-C3</x:v>
      </x:c>
      <x:c r="B159" s="13" t="str">
        <x:v>Cavity</x:v>
      </x:c>
      <x:c r="C159" s="13" t="str">
        <x:v>L23-S12</x:v>
      </x:c>
      <x:c r="D159" s="13" t="str">
        <x:v>KG01</x:v>
      </x:c>
      <x:c r="E159" s="13" t="n">
        <x:v>23</x:v>
      </x:c>
      <x:c r="F159" s="13" t="n">
        <x:v>12</x:v>
      </x:c>
      <x:c r="G159" s="13" t="n">
        <x:v>3</x:v>
      </x:c>
      <x:c r="H159" s="13" t="str">
        <x:v>Line 23 / Section 12 / Cavity 3</x:v>
      </x:c>
      <x:c r="I159" s="13" t="n">
        <x:v>1</x:v>
      </x:c>
      <x:c r="J159" s="18" t="str">
        <x:f>IF(B159="Line",IF(AND(C159="",F159="",G159=""),"OK","CHECK"),IF(B159="Section",IF(AND(C159="L"&amp;E159,F159&gt;=1,F159&lt;=13,G159=""),"OK","CHECK"),IF(B159="Cavity",IF(AND(C159="L"&amp;E159&amp;"-S"&amp;TEXT(F159,"00"),F159&gt;=1,F159&lt;=13,G159&gt;=1,G159&lt;=3),"OK","CHECK"),"CHECK")))</x:f>
        <x:v>OK</x:v>
      </x:c>
    </x:row>
    <x:row r="160">
      <x:c r="A160" s="13" t="str">
        <x:v>L23-S13</x:v>
      </x:c>
      <x:c r="B160" s="13" t="str">
        <x:v>Section</x:v>
      </x:c>
      <x:c r="C160" s="13" t="str">
        <x:v>L23</x:v>
      </x:c>
      <x:c r="D160" s="13" t="str">
        <x:v>KG01</x:v>
      </x:c>
      <x:c r="E160" s="13" t="n">
        <x:v>23</x:v>
      </x:c>
      <x:c r="F160" s="13" t="n">
        <x:v>13</x:v>
      </x:c>
      <x:c r="G160" s="13"/>
      <x:c r="H160" s="13" t="str">
        <x:v>Line 23 / Section 13</x:v>
      </x:c>
      <x:c r="I160" s="13" t="n">
        <x:v>1</x:v>
      </x:c>
      <x:c r="J160" s="18" t="str">
        <x:f>IF(B160="Line",IF(AND(C160="",F160="",G160=""),"OK","CHECK"),IF(B160="Section",IF(AND(C160="L"&amp;E160,F160&gt;=1,F160&lt;=13,G160=""),"OK","CHECK"),IF(B160="Cavity",IF(AND(C160="L"&amp;E160&amp;"-S"&amp;TEXT(F160,"00"),F160&gt;=1,F160&lt;=13,G160&gt;=1,G160&lt;=3),"OK","CHECK"),"CHECK")))</x:f>
        <x:v>OK</x:v>
      </x:c>
    </x:row>
    <x:row r="161">
      <x:c r="A161" s="13" t="str">
        <x:v>L23-S13-C1</x:v>
      </x:c>
      <x:c r="B161" s="13" t="str">
        <x:v>Cavity</x:v>
      </x:c>
      <x:c r="C161" s="13" t="str">
        <x:v>L23-S13</x:v>
      </x:c>
      <x:c r="D161" s="13" t="str">
        <x:v>KG01</x:v>
      </x:c>
      <x:c r="E161" s="13" t="n">
        <x:v>23</x:v>
      </x:c>
      <x:c r="F161" s="13" t="n">
        <x:v>13</x:v>
      </x:c>
      <x:c r="G161" s="13" t="n">
        <x:v>1</x:v>
      </x:c>
      <x:c r="H161" s="13" t="str">
        <x:v>Line 23 / Section 13 / Cavity 1</x:v>
      </x:c>
      <x:c r="I161" s="13" t="n">
        <x:v>1</x:v>
      </x:c>
      <x:c r="J161" s="18" t="str">
        <x:f>IF(B161="Line",IF(AND(C161="",F161="",G161=""),"OK","CHECK"),IF(B161="Section",IF(AND(C161="L"&amp;E161,F161&gt;=1,F161&lt;=13,G161=""),"OK","CHECK"),IF(B161="Cavity",IF(AND(C161="L"&amp;E161&amp;"-S"&amp;TEXT(F161,"00"),F161&gt;=1,F161&lt;=13,G161&gt;=1,G161&lt;=3),"OK","CHECK"),"CHECK")))</x:f>
        <x:v>OK</x:v>
      </x:c>
    </x:row>
    <x:row r="162">
      <x:c r="A162" s="13" t="str">
        <x:v>L23-S13-C2</x:v>
      </x:c>
      <x:c r="B162" s="13" t="str">
        <x:v>Cavity</x:v>
      </x:c>
      <x:c r="C162" s="13" t="str">
        <x:v>L23-S13</x:v>
      </x:c>
      <x:c r="D162" s="13" t="str">
        <x:v>KG01</x:v>
      </x:c>
      <x:c r="E162" s="13" t="n">
        <x:v>23</x:v>
      </x:c>
      <x:c r="F162" s="13" t="n">
        <x:v>13</x:v>
      </x:c>
      <x:c r="G162" s="13" t="n">
        <x:v>2</x:v>
      </x:c>
      <x:c r="H162" s="13" t="str">
        <x:v>Line 23 / Section 13 / Cavity 2</x:v>
      </x:c>
      <x:c r="I162" s="13" t="n">
        <x:v>1</x:v>
      </x:c>
      <x:c r="J162" s="18" t="str">
        <x:f>IF(B162="Line",IF(AND(C162="",F162="",G162=""),"OK","CHECK"),IF(B162="Section",IF(AND(C162="L"&amp;E162,F162&gt;=1,F162&lt;=13,G162=""),"OK","CHECK"),IF(B162="Cavity",IF(AND(C162="L"&amp;E162&amp;"-S"&amp;TEXT(F162,"00"),F162&gt;=1,F162&lt;=13,G162&gt;=1,G162&lt;=3),"OK","CHECK"),"CHECK")))</x:f>
        <x:v>OK</x:v>
      </x:c>
    </x:row>
    <x:row r="163">
      <x:c r="A163" s="13" t="str">
        <x:v>L23-S13-C3</x:v>
      </x:c>
      <x:c r="B163" s="13" t="str">
        <x:v>Cavity</x:v>
      </x:c>
      <x:c r="C163" s="13" t="str">
        <x:v>L23-S13</x:v>
      </x:c>
      <x:c r="D163" s="13" t="str">
        <x:v>KG01</x:v>
      </x:c>
      <x:c r="E163" s="13" t="n">
        <x:v>23</x:v>
      </x:c>
      <x:c r="F163" s="13" t="n">
        <x:v>13</x:v>
      </x:c>
      <x:c r="G163" s="13" t="n">
        <x:v>3</x:v>
      </x:c>
      <x:c r="H163" s="13" t="str">
        <x:v>Line 23 / Section 13 / Cavity 3</x:v>
      </x:c>
      <x:c r="I163" s="13" t="n">
        <x:v>1</x:v>
      </x:c>
      <x:c r="J163" s="18" t="str">
        <x:f>IF(B163="Line",IF(AND(C163="",F163="",G163=""),"OK","CHECK"),IF(B163="Section",IF(AND(C163="L"&amp;E163,F163&gt;=1,F163&lt;=13,G163=""),"OK","CHECK"),IF(B163="Cavity",IF(AND(C163="L"&amp;E163&amp;"-S"&amp;TEXT(F163,"00"),F163&gt;=1,F163&lt;=13,G163&gt;=1,G163&lt;=3),"OK","CHECK"),"CHECK")))</x:f>
        <x:v>OK</x:v>
      </x:c>
    </x:row>
    <x:row r="164">
      <x:c r="A164" s="13" t="str">
        <x:v>L24</x:v>
      </x:c>
      <x:c r="B164" s="13" t="str">
        <x:v>Line</x:v>
      </x:c>
      <x:c r="C164" s="13"/>
      <x:c r="D164" s="13" t="str">
        <x:v>KG01</x:v>
      </x:c>
      <x:c r="E164" s="13" t="n">
        <x:v>24</x:v>
      </x:c>
      <x:c r="F164" s="13"/>
      <x:c r="G164" s="13"/>
      <x:c r="H164" s="13" t="str">
        <x:v>Line 24</x:v>
      </x:c>
      <x:c r="I164" s="13" t="n">
        <x:v>1</x:v>
      </x:c>
      <x:c r="J164" s="18" t="str">
        <x:f>IF(B164="Line",IF(AND(C164="",F164="",G164=""),"OK","CHECK"),IF(B164="Section",IF(AND(C164="L"&amp;E164,F164&gt;=1,F164&lt;=13,G164=""),"OK","CHECK"),IF(B164="Cavity",IF(AND(C164="L"&amp;E164&amp;"-S"&amp;TEXT(F164,"00"),F164&gt;=1,F164&lt;=13,G164&gt;=1,G164&lt;=3),"OK","CHECK"),"CHECK")))</x:f>
        <x:v>OK</x:v>
      </x:c>
    </x:row>
    <x:row r="165">
      <x:c r="A165" s="13" t="str">
        <x:v>L24-S01</x:v>
      </x:c>
      <x:c r="B165" s="13" t="str">
        <x:v>Section</x:v>
      </x:c>
      <x:c r="C165" s="13" t="str">
        <x:v>L24</x:v>
      </x:c>
      <x:c r="D165" s="13" t="str">
        <x:v>KG01</x:v>
      </x:c>
      <x:c r="E165" s="13" t="n">
        <x:v>24</x:v>
      </x:c>
      <x:c r="F165" s="13" t="n">
        <x:v>1</x:v>
      </x:c>
      <x:c r="G165" s="13"/>
      <x:c r="H165" s="13" t="str">
        <x:v>Line 24 / Section 01</x:v>
      </x:c>
      <x:c r="I165" s="13" t="n">
        <x:v>1</x:v>
      </x:c>
      <x:c r="J165" s="18" t="str">
        <x:f>IF(B165="Line",IF(AND(C165="",F165="",G165=""),"OK","CHECK"),IF(B165="Section",IF(AND(C165="L"&amp;E165,F165&gt;=1,F165&lt;=13,G165=""),"OK","CHECK"),IF(B165="Cavity",IF(AND(C165="L"&amp;E165&amp;"-S"&amp;TEXT(F165,"00"),F165&gt;=1,F165&lt;=13,G165&gt;=1,G165&lt;=3),"OK","CHECK"),"CHECK")))</x:f>
        <x:v>OK</x:v>
      </x:c>
    </x:row>
    <x:row r="166">
      <x:c r="A166" s="13" t="str">
        <x:v>L24-S01-C1</x:v>
      </x:c>
      <x:c r="B166" s="13" t="str">
        <x:v>Cavity</x:v>
      </x:c>
      <x:c r="C166" s="13" t="str">
        <x:v>L24-S01</x:v>
      </x:c>
      <x:c r="D166" s="13" t="str">
        <x:v>KG01</x:v>
      </x:c>
      <x:c r="E166" s="13" t="n">
        <x:v>24</x:v>
      </x:c>
      <x:c r="F166" s="13" t="n">
        <x:v>1</x:v>
      </x:c>
      <x:c r="G166" s="13" t="n">
        <x:v>1</x:v>
      </x:c>
      <x:c r="H166" s="13" t="str">
        <x:v>Line 24 / Section 01 / Cavity 1</x:v>
      </x:c>
      <x:c r="I166" s="13" t="n">
        <x:v>1</x:v>
      </x:c>
      <x:c r="J166" s="18" t="str">
        <x:f>IF(B166="Line",IF(AND(C166="",F166="",G166=""),"OK","CHECK"),IF(B166="Section",IF(AND(C166="L"&amp;E166,F166&gt;=1,F166&lt;=13,G166=""),"OK","CHECK"),IF(B166="Cavity",IF(AND(C166="L"&amp;E166&amp;"-S"&amp;TEXT(F166,"00"),F166&gt;=1,F166&lt;=13,G166&gt;=1,G166&lt;=3),"OK","CHECK"),"CHECK")))</x:f>
        <x:v>OK</x:v>
      </x:c>
    </x:row>
    <x:row r="167">
      <x:c r="A167" s="13" t="str">
        <x:v>L24-S01-C2</x:v>
      </x:c>
      <x:c r="B167" s="13" t="str">
        <x:v>Cavity</x:v>
      </x:c>
      <x:c r="C167" s="13" t="str">
        <x:v>L24-S01</x:v>
      </x:c>
      <x:c r="D167" s="13" t="str">
        <x:v>KG01</x:v>
      </x:c>
      <x:c r="E167" s="13" t="n">
        <x:v>24</x:v>
      </x:c>
      <x:c r="F167" s="13" t="n">
        <x:v>1</x:v>
      </x:c>
      <x:c r="G167" s="13" t="n">
        <x:v>2</x:v>
      </x:c>
      <x:c r="H167" s="13" t="str">
        <x:v>Line 24 / Section 01 / Cavity 2</x:v>
      </x:c>
      <x:c r="I167" s="13" t="n">
        <x:v>1</x:v>
      </x:c>
      <x:c r="J167" s="18" t="str">
        <x:f>IF(B167="Line",IF(AND(C167="",F167="",G167=""),"OK","CHECK"),IF(B167="Section",IF(AND(C167="L"&amp;E167,F167&gt;=1,F167&lt;=13,G167=""),"OK","CHECK"),IF(B167="Cavity",IF(AND(C167="L"&amp;E167&amp;"-S"&amp;TEXT(F167,"00"),F167&gt;=1,F167&lt;=13,G167&gt;=1,G167&lt;=3),"OK","CHECK"),"CHECK")))</x:f>
        <x:v>OK</x:v>
      </x:c>
    </x:row>
    <x:row r="168">
      <x:c r="A168" s="13" t="str">
        <x:v>L24-S01-C3</x:v>
      </x:c>
      <x:c r="B168" s="13" t="str">
        <x:v>Cavity</x:v>
      </x:c>
      <x:c r="C168" s="13" t="str">
        <x:v>L24-S01</x:v>
      </x:c>
      <x:c r="D168" s="13" t="str">
        <x:v>KG01</x:v>
      </x:c>
      <x:c r="E168" s="13" t="n">
        <x:v>24</x:v>
      </x:c>
      <x:c r="F168" s="13" t="n">
        <x:v>1</x:v>
      </x:c>
      <x:c r="G168" s="13" t="n">
        <x:v>3</x:v>
      </x:c>
      <x:c r="H168" s="13" t="str">
        <x:v>Line 24 / Section 01 / Cavity 3</x:v>
      </x:c>
      <x:c r="I168" s="13" t="n">
        <x:v>1</x:v>
      </x:c>
      <x:c r="J168" s="18" t="str">
        <x:f>IF(B168="Line",IF(AND(C168="",F168="",G168=""),"OK","CHECK"),IF(B168="Section",IF(AND(C168="L"&amp;E168,F168&gt;=1,F168&lt;=13,G168=""),"OK","CHECK"),IF(B168="Cavity",IF(AND(C168="L"&amp;E168&amp;"-S"&amp;TEXT(F168,"00"),F168&gt;=1,F168&lt;=13,G168&gt;=1,G168&lt;=3),"OK","CHECK"),"CHECK")))</x:f>
        <x:v>OK</x:v>
      </x:c>
    </x:row>
    <x:row r="169">
      <x:c r="A169" s="13" t="str">
        <x:v>L24-S02</x:v>
      </x:c>
      <x:c r="B169" s="13" t="str">
        <x:v>Section</x:v>
      </x:c>
      <x:c r="C169" s="13" t="str">
        <x:v>L24</x:v>
      </x:c>
      <x:c r="D169" s="13" t="str">
        <x:v>KG01</x:v>
      </x:c>
      <x:c r="E169" s="13" t="n">
        <x:v>24</x:v>
      </x:c>
      <x:c r="F169" s="13" t="n">
        <x:v>2</x:v>
      </x:c>
      <x:c r="G169" s="13"/>
      <x:c r="H169" s="13" t="str">
        <x:v>Line 24 / Section 02</x:v>
      </x:c>
      <x:c r="I169" s="13" t="n">
        <x:v>1</x:v>
      </x:c>
      <x:c r="J169" s="18" t="str">
        <x:f>IF(B169="Line",IF(AND(C169="",F169="",G169=""),"OK","CHECK"),IF(B169="Section",IF(AND(C169="L"&amp;E169,F169&gt;=1,F169&lt;=13,G169=""),"OK","CHECK"),IF(B169="Cavity",IF(AND(C169="L"&amp;E169&amp;"-S"&amp;TEXT(F169,"00"),F169&gt;=1,F169&lt;=13,G169&gt;=1,G169&lt;=3),"OK","CHECK"),"CHECK")))</x:f>
        <x:v>OK</x:v>
      </x:c>
    </x:row>
    <x:row r="170">
      <x:c r="A170" s="13" t="str">
        <x:v>L24-S02-C1</x:v>
      </x:c>
      <x:c r="B170" s="13" t="str">
        <x:v>Cavity</x:v>
      </x:c>
      <x:c r="C170" s="13" t="str">
        <x:v>L24-S02</x:v>
      </x:c>
      <x:c r="D170" s="13" t="str">
        <x:v>KG01</x:v>
      </x:c>
      <x:c r="E170" s="13" t="n">
        <x:v>24</x:v>
      </x:c>
      <x:c r="F170" s="13" t="n">
        <x:v>2</x:v>
      </x:c>
      <x:c r="G170" s="13" t="n">
        <x:v>1</x:v>
      </x:c>
      <x:c r="H170" s="13" t="str">
        <x:v>Line 24 / Section 02 / Cavity 1</x:v>
      </x:c>
      <x:c r="I170" s="13" t="n">
        <x:v>1</x:v>
      </x:c>
      <x:c r="J170" s="18" t="str">
        <x:f>IF(B170="Line",IF(AND(C170="",F170="",G170=""),"OK","CHECK"),IF(B170="Section",IF(AND(C170="L"&amp;E170,F170&gt;=1,F170&lt;=13,G170=""),"OK","CHECK"),IF(B170="Cavity",IF(AND(C170="L"&amp;E170&amp;"-S"&amp;TEXT(F170,"00"),F170&gt;=1,F170&lt;=13,G170&gt;=1,G170&lt;=3),"OK","CHECK"),"CHECK")))</x:f>
        <x:v>OK</x:v>
      </x:c>
    </x:row>
    <x:row r="171">
      <x:c r="A171" s="13" t="str">
        <x:v>L24-S02-C2</x:v>
      </x:c>
      <x:c r="B171" s="13" t="str">
        <x:v>Cavity</x:v>
      </x:c>
      <x:c r="C171" s="13" t="str">
        <x:v>L24-S02</x:v>
      </x:c>
      <x:c r="D171" s="13" t="str">
        <x:v>KG01</x:v>
      </x:c>
      <x:c r="E171" s="13" t="n">
        <x:v>24</x:v>
      </x:c>
      <x:c r="F171" s="13" t="n">
        <x:v>2</x:v>
      </x:c>
      <x:c r="G171" s="13" t="n">
        <x:v>2</x:v>
      </x:c>
      <x:c r="H171" s="13" t="str">
        <x:v>Line 24 / Section 02 / Cavity 2</x:v>
      </x:c>
      <x:c r="I171" s="13" t="n">
        <x:v>1</x:v>
      </x:c>
      <x:c r="J171" s="18" t="str">
        <x:f>IF(B171="Line",IF(AND(C171="",F171="",G171=""),"OK","CHECK"),IF(B171="Section",IF(AND(C171="L"&amp;E171,F171&gt;=1,F171&lt;=13,G171=""),"OK","CHECK"),IF(B171="Cavity",IF(AND(C171="L"&amp;E171&amp;"-S"&amp;TEXT(F171,"00"),F171&gt;=1,F171&lt;=13,G171&gt;=1,G171&lt;=3),"OK","CHECK"),"CHECK")))</x:f>
        <x:v>OK</x:v>
      </x:c>
    </x:row>
    <x:row r="172">
      <x:c r="A172" s="13" t="str">
        <x:v>L24-S02-C3</x:v>
      </x:c>
      <x:c r="B172" s="13" t="str">
        <x:v>Cavity</x:v>
      </x:c>
      <x:c r="C172" s="13" t="str">
        <x:v>L24-S02</x:v>
      </x:c>
      <x:c r="D172" s="13" t="str">
        <x:v>KG01</x:v>
      </x:c>
      <x:c r="E172" s="13" t="n">
        <x:v>24</x:v>
      </x:c>
      <x:c r="F172" s="13" t="n">
        <x:v>2</x:v>
      </x:c>
      <x:c r="G172" s="13" t="n">
        <x:v>3</x:v>
      </x:c>
      <x:c r="H172" s="13" t="str">
        <x:v>Line 24 / Section 02 / Cavity 3</x:v>
      </x:c>
      <x:c r="I172" s="13" t="n">
        <x:v>1</x:v>
      </x:c>
      <x:c r="J172" s="18" t="str">
        <x:f>IF(B172="Line",IF(AND(C172="",F172="",G172=""),"OK","CHECK"),IF(B172="Section",IF(AND(C172="L"&amp;E172,F172&gt;=1,F172&lt;=13,G172=""),"OK","CHECK"),IF(B172="Cavity",IF(AND(C172="L"&amp;E172&amp;"-S"&amp;TEXT(F172,"00"),F172&gt;=1,F172&lt;=13,G172&gt;=1,G172&lt;=3),"OK","CHECK"),"CHECK")))</x:f>
        <x:v>OK</x:v>
      </x:c>
    </x:row>
    <x:row r="173">
      <x:c r="A173" s="13" t="str">
        <x:v>L24-S03</x:v>
      </x:c>
      <x:c r="B173" s="13" t="str">
        <x:v>Section</x:v>
      </x:c>
      <x:c r="C173" s="13" t="str">
        <x:v>L24</x:v>
      </x:c>
      <x:c r="D173" s="13" t="str">
        <x:v>KG01</x:v>
      </x:c>
      <x:c r="E173" s="13" t="n">
        <x:v>24</x:v>
      </x:c>
      <x:c r="F173" s="13" t="n">
        <x:v>3</x:v>
      </x:c>
      <x:c r="G173" s="13"/>
      <x:c r="H173" s="13" t="str">
        <x:v>Line 24 / Section 03</x:v>
      </x:c>
      <x:c r="I173" s="13" t="n">
        <x:v>1</x:v>
      </x:c>
      <x:c r="J173" s="18" t="str">
        <x:f>IF(B173="Line",IF(AND(C173="",F173="",G173=""),"OK","CHECK"),IF(B173="Section",IF(AND(C173="L"&amp;E173,F173&gt;=1,F173&lt;=13,G173=""),"OK","CHECK"),IF(B173="Cavity",IF(AND(C173="L"&amp;E173&amp;"-S"&amp;TEXT(F173,"00"),F173&gt;=1,F173&lt;=13,G173&gt;=1,G173&lt;=3),"OK","CHECK"),"CHECK")))</x:f>
        <x:v>OK</x:v>
      </x:c>
    </x:row>
    <x:row r="174">
      <x:c r="A174" s="13" t="str">
        <x:v>L24-S03-C1</x:v>
      </x:c>
      <x:c r="B174" s="13" t="str">
        <x:v>Cavity</x:v>
      </x:c>
      <x:c r="C174" s="13" t="str">
        <x:v>L24-S03</x:v>
      </x:c>
      <x:c r="D174" s="13" t="str">
        <x:v>KG01</x:v>
      </x:c>
      <x:c r="E174" s="13" t="n">
        <x:v>24</x:v>
      </x:c>
      <x:c r="F174" s="13" t="n">
        <x:v>3</x:v>
      </x:c>
      <x:c r="G174" s="13" t="n">
        <x:v>1</x:v>
      </x:c>
      <x:c r="H174" s="13" t="str">
        <x:v>Line 24 / Section 03 / Cavity 1</x:v>
      </x:c>
      <x:c r="I174" s="13" t="n">
        <x:v>1</x:v>
      </x:c>
      <x:c r="J174" s="18" t="str">
        <x:f>IF(B174="Line",IF(AND(C174="",F174="",G174=""),"OK","CHECK"),IF(B174="Section",IF(AND(C174="L"&amp;E174,F174&gt;=1,F174&lt;=13,G174=""),"OK","CHECK"),IF(B174="Cavity",IF(AND(C174="L"&amp;E174&amp;"-S"&amp;TEXT(F174,"00"),F174&gt;=1,F174&lt;=13,G174&gt;=1,G174&lt;=3),"OK","CHECK"),"CHECK")))</x:f>
        <x:v>OK</x:v>
      </x:c>
    </x:row>
    <x:row r="175">
      <x:c r="A175" s="13" t="str">
        <x:v>L24-S03-C2</x:v>
      </x:c>
      <x:c r="B175" s="13" t="str">
        <x:v>Cavity</x:v>
      </x:c>
      <x:c r="C175" s="13" t="str">
        <x:v>L24-S03</x:v>
      </x:c>
      <x:c r="D175" s="13" t="str">
        <x:v>KG01</x:v>
      </x:c>
      <x:c r="E175" s="13" t="n">
        <x:v>24</x:v>
      </x:c>
      <x:c r="F175" s="13" t="n">
        <x:v>3</x:v>
      </x:c>
      <x:c r="G175" s="13" t="n">
        <x:v>2</x:v>
      </x:c>
      <x:c r="H175" s="13" t="str">
        <x:v>Line 24 / Section 03 / Cavity 2</x:v>
      </x:c>
      <x:c r="I175" s="13" t="n">
        <x:v>1</x:v>
      </x:c>
      <x:c r="J175" s="18" t="str">
        <x:f>IF(B175="Line",IF(AND(C175="",F175="",G175=""),"OK","CHECK"),IF(B175="Section",IF(AND(C175="L"&amp;E175,F175&gt;=1,F175&lt;=13,G175=""),"OK","CHECK"),IF(B175="Cavity",IF(AND(C175="L"&amp;E175&amp;"-S"&amp;TEXT(F175,"00"),F175&gt;=1,F175&lt;=13,G175&gt;=1,G175&lt;=3),"OK","CHECK"),"CHECK")))</x:f>
        <x:v>OK</x:v>
      </x:c>
    </x:row>
    <x:row r="176">
      <x:c r="A176" s="13" t="str">
        <x:v>L24-S03-C3</x:v>
      </x:c>
      <x:c r="B176" s="13" t="str">
        <x:v>Cavity</x:v>
      </x:c>
      <x:c r="C176" s="13" t="str">
        <x:v>L24-S03</x:v>
      </x:c>
      <x:c r="D176" s="13" t="str">
        <x:v>KG01</x:v>
      </x:c>
      <x:c r="E176" s="13" t="n">
        <x:v>24</x:v>
      </x:c>
      <x:c r="F176" s="13" t="n">
        <x:v>3</x:v>
      </x:c>
      <x:c r="G176" s="13" t="n">
        <x:v>3</x:v>
      </x:c>
      <x:c r="H176" s="13" t="str">
        <x:v>Line 24 / Section 03 / Cavity 3</x:v>
      </x:c>
      <x:c r="I176" s="13" t="n">
        <x:v>1</x:v>
      </x:c>
      <x:c r="J176" s="18" t="str">
        <x:f>IF(B176="Line",IF(AND(C176="",F176="",G176=""),"OK","CHECK"),IF(B176="Section",IF(AND(C176="L"&amp;E176,F176&gt;=1,F176&lt;=13,G176=""),"OK","CHECK"),IF(B176="Cavity",IF(AND(C176="L"&amp;E176&amp;"-S"&amp;TEXT(F176,"00"),F176&gt;=1,F176&lt;=13,G176&gt;=1,G176&lt;=3),"OK","CHECK"),"CHECK")))</x:f>
        <x:v>OK</x:v>
      </x:c>
    </x:row>
    <x:row r="177">
      <x:c r="A177" s="13" t="str">
        <x:v>L24-S04</x:v>
      </x:c>
      <x:c r="B177" s="13" t="str">
        <x:v>Section</x:v>
      </x:c>
      <x:c r="C177" s="13" t="str">
        <x:v>L24</x:v>
      </x:c>
      <x:c r="D177" s="13" t="str">
        <x:v>KG01</x:v>
      </x:c>
      <x:c r="E177" s="13" t="n">
        <x:v>24</x:v>
      </x:c>
      <x:c r="F177" s="13" t="n">
        <x:v>4</x:v>
      </x:c>
      <x:c r="G177" s="13"/>
      <x:c r="H177" s="13" t="str">
        <x:v>Line 24 / Section 04</x:v>
      </x:c>
      <x:c r="I177" s="13" t="n">
        <x:v>1</x:v>
      </x:c>
      <x:c r="J177" s="18" t="str">
        <x:f>IF(B177="Line",IF(AND(C177="",F177="",G177=""),"OK","CHECK"),IF(B177="Section",IF(AND(C177="L"&amp;E177,F177&gt;=1,F177&lt;=13,G177=""),"OK","CHECK"),IF(B177="Cavity",IF(AND(C177="L"&amp;E177&amp;"-S"&amp;TEXT(F177,"00"),F177&gt;=1,F177&lt;=13,G177&gt;=1,G177&lt;=3),"OK","CHECK"),"CHECK")))</x:f>
        <x:v>OK</x:v>
      </x:c>
    </x:row>
    <x:row r="178">
      <x:c r="A178" s="13" t="str">
        <x:v>L24-S04-C1</x:v>
      </x:c>
      <x:c r="B178" s="13" t="str">
        <x:v>Cavity</x:v>
      </x:c>
      <x:c r="C178" s="13" t="str">
        <x:v>L24-S04</x:v>
      </x:c>
      <x:c r="D178" s="13" t="str">
        <x:v>KG01</x:v>
      </x:c>
      <x:c r="E178" s="13" t="n">
        <x:v>24</x:v>
      </x:c>
      <x:c r="F178" s="13" t="n">
        <x:v>4</x:v>
      </x:c>
      <x:c r="G178" s="13" t="n">
        <x:v>1</x:v>
      </x:c>
      <x:c r="H178" s="13" t="str">
        <x:v>Line 24 / Section 04 / Cavity 1</x:v>
      </x:c>
      <x:c r="I178" s="13" t="n">
        <x:v>1</x:v>
      </x:c>
      <x:c r="J178" s="18" t="str">
        <x:f>IF(B178="Line",IF(AND(C178="",F178="",G178=""),"OK","CHECK"),IF(B178="Section",IF(AND(C178="L"&amp;E178,F178&gt;=1,F178&lt;=13,G178=""),"OK","CHECK"),IF(B178="Cavity",IF(AND(C178="L"&amp;E178&amp;"-S"&amp;TEXT(F178,"00"),F178&gt;=1,F178&lt;=13,G178&gt;=1,G178&lt;=3),"OK","CHECK"),"CHECK")))</x:f>
        <x:v>OK</x:v>
      </x:c>
    </x:row>
    <x:row r="179">
      <x:c r="A179" s="13" t="str">
        <x:v>L24-S04-C2</x:v>
      </x:c>
      <x:c r="B179" s="13" t="str">
        <x:v>Cavity</x:v>
      </x:c>
      <x:c r="C179" s="13" t="str">
        <x:v>L24-S04</x:v>
      </x:c>
      <x:c r="D179" s="13" t="str">
        <x:v>KG01</x:v>
      </x:c>
      <x:c r="E179" s="13" t="n">
        <x:v>24</x:v>
      </x:c>
      <x:c r="F179" s="13" t="n">
        <x:v>4</x:v>
      </x:c>
      <x:c r="G179" s="13" t="n">
        <x:v>2</x:v>
      </x:c>
      <x:c r="H179" s="13" t="str">
        <x:v>Line 24 / Section 04 / Cavity 2</x:v>
      </x:c>
      <x:c r="I179" s="13" t="n">
        <x:v>1</x:v>
      </x:c>
      <x:c r="J179" s="18" t="str">
        <x:f>IF(B179="Line",IF(AND(C179="",F179="",G179=""),"OK","CHECK"),IF(B179="Section",IF(AND(C179="L"&amp;E179,F179&gt;=1,F179&lt;=13,G179=""),"OK","CHECK"),IF(B179="Cavity",IF(AND(C179="L"&amp;E179&amp;"-S"&amp;TEXT(F179,"00"),F179&gt;=1,F179&lt;=13,G179&gt;=1,G179&lt;=3),"OK","CHECK"),"CHECK")))</x:f>
        <x:v>OK</x:v>
      </x:c>
    </x:row>
    <x:row r="180">
      <x:c r="A180" s="13" t="str">
        <x:v>L24-S04-C3</x:v>
      </x:c>
      <x:c r="B180" s="13" t="str">
        <x:v>Cavity</x:v>
      </x:c>
      <x:c r="C180" s="13" t="str">
        <x:v>L24-S04</x:v>
      </x:c>
      <x:c r="D180" s="13" t="str">
        <x:v>KG01</x:v>
      </x:c>
      <x:c r="E180" s="13" t="n">
        <x:v>24</x:v>
      </x:c>
      <x:c r="F180" s="13" t="n">
        <x:v>4</x:v>
      </x:c>
      <x:c r="G180" s="13" t="n">
        <x:v>3</x:v>
      </x:c>
      <x:c r="H180" s="13" t="str">
        <x:v>Line 24 / Section 04 / Cavity 3</x:v>
      </x:c>
      <x:c r="I180" s="13" t="n">
        <x:v>1</x:v>
      </x:c>
      <x:c r="J180" s="18" t="str">
        <x:f>IF(B180="Line",IF(AND(C180="",F180="",G180=""),"OK","CHECK"),IF(B180="Section",IF(AND(C180="L"&amp;E180,F180&gt;=1,F180&lt;=13,G180=""),"OK","CHECK"),IF(B180="Cavity",IF(AND(C180="L"&amp;E180&amp;"-S"&amp;TEXT(F180,"00"),F180&gt;=1,F180&lt;=13,G180&gt;=1,G180&lt;=3),"OK","CHECK"),"CHECK")))</x:f>
        <x:v>OK</x:v>
      </x:c>
    </x:row>
    <x:row r="181">
      <x:c r="A181" s="13" t="str">
        <x:v>L24-S05</x:v>
      </x:c>
      <x:c r="B181" s="13" t="str">
        <x:v>Section</x:v>
      </x:c>
      <x:c r="C181" s="13" t="str">
        <x:v>L24</x:v>
      </x:c>
      <x:c r="D181" s="13" t="str">
        <x:v>KG01</x:v>
      </x:c>
      <x:c r="E181" s="13" t="n">
        <x:v>24</x:v>
      </x:c>
      <x:c r="F181" s="13" t="n">
        <x:v>5</x:v>
      </x:c>
      <x:c r="G181" s="13"/>
      <x:c r="H181" s="13" t="str">
        <x:v>Line 24 / Section 05</x:v>
      </x:c>
      <x:c r="I181" s="13" t="n">
        <x:v>1</x:v>
      </x:c>
      <x:c r="J181" s="18" t="str">
        <x:f>IF(B181="Line",IF(AND(C181="",F181="",G181=""),"OK","CHECK"),IF(B181="Section",IF(AND(C181="L"&amp;E181,F181&gt;=1,F181&lt;=13,G181=""),"OK","CHECK"),IF(B181="Cavity",IF(AND(C181="L"&amp;E181&amp;"-S"&amp;TEXT(F181,"00"),F181&gt;=1,F181&lt;=13,G181&gt;=1,G181&lt;=3),"OK","CHECK"),"CHECK")))</x:f>
        <x:v>OK</x:v>
      </x:c>
    </x:row>
    <x:row r="182">
      <x:c r="A182" s="13" t="str">
        <x:v>L24-S05-C1</x:v>
      </x:c>
      <x:c r="B182" s="13" t="str">
        <x:v>Cavity</x:v>
      </x:c>
      <x:c r="C182" s="13" t="str">
        <x:v>L24-S05</x:v>
      </x:c>
      <x:c r="D182" s="13" t="str">
        <x:v>KG01</x:v>
      </x:c>
      <x:c r="E182" s="13" t="n">
        <x:v>24</x:v>
      </x:c>
      <x:c r="F182" s="13" t="n">
        <x:v>5</x:v>
      </x:c>
      <x:c r="G182" s="13" t="n">
        <x:v>1</x:v>
      </x:c>
      <x:c r="H182" s="13" t="str">
        <x:v>Line 24 / Section 05 / Cavity 1</x:v>
      </x:c>
      <x:c r="I182" s="13" t="n">
        <x:v>1</x:v>
      </x:c>
      <x:c r="J182" s="18" t="str">
        <x:f>IF(B182="Line",IF(AND(C182="",F182="",G182=""),"OK","CHECK"),IF(B182="Section",IF(AND(C182="L"&amp;E182,F182&gt;=1,F182&lt;=13,G182=""),"OK","CHECK"),IF(B182="Cavity",IF(AND(C182="L"&amp;E182&amp;"-S"&amp;TEXT(F182,"00"),F182&gt;=1,F182&lt;=13,G182&gt;=1,G182&lt;=3),"OK","CHECK"),"CHECK")))</x:f>
        <x:v>OK</x:v>
      </x:c>
    </x:row>
    <x:row r="183">
      <x:c r="A183" s="13" t="str">
        <x:v>L24-S05-C2</x:v>
      </x:c>
      <x:c r="B183" s="13" t="str">
        <x:v>Cavity</x:v>
      </x:c>
      <x:c r="C183" s="13" t="str">
        <x:v>L24-S05</x:v>
      </x:c>
      <x:c r="D183" s="13" t="str">
        <x:v>KG01</x:v>
      </x:c>
      <x:c r="E183" s="13" t="n">
        <x:v>24</x:v>
      </x:c>
      <x:c r="F183" s="13" t="n">
        <x:v>5</x:v>
      </x:c>
      <x:c r="G183" s="13" t="n">
        <x:v>2</x:v>
      </x:c>
      <x:c r="H183" s="13" t="str">
        <x:v>Line 24 / Section 05 / Cavity 2</x:v>
      </x:c>
      <x:c r="I183" s="13" t="n">
        <x:v>1</x:v>
      </x:c>
      <x:c r="J183" s="18" t="str">
        <x:f>IF(B183="Line",IF(AND(C183="",F183="",G183=""),"OK","CHECK"),IF(B183="Section",IF(AND(C183="L"&amp;E183,F183&gt;=1,F183&lt;=13,G183=""),"OK","CHECK"),IF(B183="Cavity",IF(AND(C183="L"&amp;E183&amp;"-S"&amp;TEXT(F183,"00"),F183&gt;=1,F183&lt;=13,G183&gt;=1,G183&lt;=3),"OK","CHECK"),"CHECK")))</x:f>
        <x:v>OK</x:v>
      </x:c>
    </x:row>
    <x:row r="184">
      <x:c r="A184" s="13" t="str">
        <x:v>L24-S05-C3</x:v>
      </x:c>
      <x:c r="B184" s="13" t="str">
        <x:v>Cavity</x:v>
      </x:c>
      <x:c r="C184" s="13" t="str">
        <x:v>L24-S05</x:v>
      </x:c>
      <x:c r="D184" s="13" t="str">
        <x:v>KG01</x:v>
      </x:c>
      <x:c r="E184" s="13" t="n">
        <x:v>24</x:v>
      </x:c>
      <x:c r="F184" s="13" t="n">
        <x:v>5</x:v>
      </x:c>
      <x:c r="G184" s="13" t="n">
        <x:v>3</x:v>
      </x:c>
      <x:c r="H184" s="13" t="str">
        <x:v>Line 24 / Section 05 / Cavity 3</x:v>
      </x:c>
      <x:c r="I184" s="13" t="n">
        <x:v>1</x:v>
      </x:c>
      <x:c r="J184" s="18" t="str">
        <x:f>IF(B184="Line",IF(AND(C184="",F184="",G184=""),"OK","CHECK"),IF(B184="Section",IF(AND(C184="L"&amp;E184,F184&gt;=1,F184&lt;=13,G184=""),"OK","CHECK"),IF(B184="Cavity",IF(AND(C184="L"&amp;E184&amp;"-S"&amp;TEXT(F184,"00"),F184&gt;=1,F184&lt;=13,G184&gt;=1,G184&lt;=3),"OK","CHECK"),"CHECK")))</x:f>
        <x:v>OK</x:v>
      </x:c>
    </x:row>
    <x:row r="185">
      <x:c r="A185" s="13" t="str">
        <x:v>L24-S06</x:v>
      </x:c>
      <x:c r="B185" s="13" t="str">
        <x:v>Section</x:v>
      </x:c>
      <x:c r="C185" s="13" t="str">
        <x:v>L24</x:v>
      </x:c>
      <x:c r="D185" s="13" t="str">
        <x:v>KG01</x:v>
      </x:c>
      <x:c r="E185" s="13" t="n">
        <x:v>24</x:v>
      </x:c>
      <x:c r="F185" s="13" t="n">
        <x:v>6</x:v>
      </x:c>
      <x:c r="G185" s="13"/>
      <x:c r="H185" s="13" t="str">
        <x:v>Line 24 / Section 06</x:v>
      </x:c>
      <x:c r="I185" s="13" t="n">
        <x:v>1</x:v>
      </x:c>
      <x:c r="J185" s="18" t="str">
        <x:f>IF(B185="Line",IF(AND(C185="",F185="",G185=""),"OK","CHECK"),IF(B185="Section",IF(AND(C185="L"&amp;E185,F185&gt;=1,F185&lt;=13,G185=""),"OK","CHECK"),IF(B185="Cavity",IF(AND(C185="L"&amp;E185&amp;"-S"&amp;TEXT(F185,"00"),F185&gt;=1,F185&lt;=13,G185&gt;=1,G185&lt;=3),"OK","CHECK"),"CHECK")))</x:f>
        <x:v>OK</x:v>
      </x:c>
    </x:row>
    <x:row r="186">
      <x:c r="A186" s="13" t="str">
        <x:v>L24-S06-C1</x:v>
      </x:c>
      <x:c r="B186" s="13" t="str">
        <x:v>Cavity</x:v>
      </x:c>
      <x:c r="C186" s="13" t="str">
        <x:v>L24-S06</x:v>
      </x:c>
      <x:c r="D186" s="13" t="str">
        <x:v>KG01</x:v>
      </x:c>
      <x:c r="E186" s="13" t="n">
        <x:v>24</x:v>
      </x:c>
      <x:c r="F186" s="13" t="n">
        <x:v>6</x:v>
      </x:c>
      <x:c r="G186" s="13" t="n">
        <x:v>1</x:v>
      </x:c>
      <x:c r="H186" s="13" t="str">
        <x:v>Line 24 / Section 06 / Cavity 1</x:v>
      </x:c>
      <x:c r="I186" s="13" t="n">
        <x:v>1</x:v>
      </x:c>
      <x:c r="J186" s="18" t="str">
        <x:f>IF(B186="Line",IF(AND(C186="",F186="",G186=""),"OK","CHECK"),IF(B186="Section",IF(AND(C186="L"&amp;E186,F186&gt;=1,F186&lt;=13,G186=""),"OK","CHECK"),IF(B186="Cavity",IF(AND(C186="L"&amp;E186&amp;"-S"&amp;TEXT(F186,"00"),F186&gt;=1,F186&lt;=13,G186&gt;=1,G186&lt;=3),"OK","CHECK"),"CHECK")))</x:f>
        <x:v>OK</x:v>
      </x:c>
    </x:row>
    <x:row r="187">
      <x:c r="A187" s="13" t="str">
        <x:v>L24-S06-C2</x:v>
      </x:c>
      <x:c r="B187" s="13" t="str">
        <x:v>Cavity</x:v>
      </x:c>
      <x:c r="C187" s="13" t="str">
        <x:v>L24-S06</x:v>
      </x:c>
      <x:c r="D187" s="13" t="str">
        <x:v>KG01</x:v>
      </x:c>
      <x:c r="E187" s="13" t="n">
        <x:v>24</x:v>
      </x:c>
      <x:c r="F187" s="13" t="n">
        <x:v>6</x:v>
      </x:c>
      <x:c r="G187" s="13" t="n">
        <x:v>2</x:v>
      </x:c>
      <x:c r="H187" s="13" t="str">
        <x:v>Line 24 / Section 06 / Cavity 2</x:v>
      </x:c>
      <x:c r="I187" s="13" t="n">
        <x:v>1</x:v>
      </x:c>
      <x:c r="J187" s="18" t="str">
        <x:f>IF(B187="Line",IF(AND(C187="",F187="",G187=""),"OK","CHECK"),IF(B187="Section",IF(AND(C187="L"&amp;E187,F187&gt;=1,F187&lt;=13,G187=""),"OK","CHECK"),IF(B187="Cavity",IF(AND(C187="L"&amp;E187&amp;"-S"&amp;TEXT(F187,"00"),F187&gt;=1,F187&lt;=13,G187&gt;=1,G187&lt;=3),"OK","CHECK"),"CHECK")))</x:f>
        <x:v>OK</x:v>
      </x:c>
    </x:row>
    <x:row r="188">
      <x:c r="A188" s="13" t="str">
        <x:v>L24-S06-C3</x:v>
      </x:c>
      <x:c r="B188" s="13" t="str">
        <x:v>Cavity</x:v>
      </x:c>
      <x:c r="C188" s="13" t="str">
        <x:v>L24-S06</x:v>
      </x:c>
      <x:c r="D188" s="13" t="str">
        <x:v>KG01</x:v>
      </x:c>
      <x:c r="E188" s="13" t="n">
        <x:v>24</x:v>
      </x:c>
      <x:c r="F188" s="13" t="n">
        <x:v>6</x:v>
      </x:c>
      <x:c r="G188" s="13" t="n">
        <x:v>3</x:v>
      </x:c>
      <x:c r="H188" s="13" t="str">
        <x:v>Line 24 / Section 06 / Cavity 3</x:v>
      </x:c>
      <x:c r="I188" s="13" t="n">
        <x:v>1</x:v>
      </x:c>
      <x:c r="J188" s="18" t="str">
        <x:f>IF(B188="Line",IF(AND(C188="",F188="",G188=""),"OK","CHECK"),IF(B188="Section",IF(AND(C188="L"&amp;E188,F188&gt;=1,F188&lt;=13,G188=""),"OK","CHECK"),IF(B188="Cavity",IF(AND(C188="L"&amp;E188&amp;"-S"&amp;TEXT(F188,"00"),F188&gt;=1,F188&lt;=13,G188&gt;=1,G188&lt;=3),"OK","CHECK"),"CHECK")))</x:f>
        <x:v>OK</x:v>
      </x:c>
    </x:row>
    <x:row r="189">
      <x:c r="A189" s="13" t="str">
        <x:v>L24-S07</x:v>
      </x:c>
      <x:c r="B189" s="13" t="str">
        <x:v>Section</x:v>
      </x:c>
      <x:c r="C189" s="13" t="str">
        <x:v>L24</x:v>
      </x:c>
      <x:c r="D189" s="13" t="str">
        <x:v>KG01</x:v>
      </x:c>
      <x:c r="E189" s="13" t="n">
        <x:v>24</x:v>
      </x:c>
      <x:c r="F189" s="13" t="n">
        <x:v>7</x:v>
      </x:c>
      <x:c r="G189" s="13"/>
      <x:c r="H189" s="13" t="str">
        <x:v>Line 24 / Section 07</x:v>
      </x:c>
      <x:c r="I189" s="13" t="n">
        <x:v>1</x:v>
      </x:c>
      <x:c r="J189" s="18" t="str">
        <x:f>IF(B189="Line",IF(AND(C189="",F189="",G189=""),"OK","CHECK"),IF(B189="Section",IF(AND(C189="L"&amp;E189,F189&gt;=1,F189&lt;=13,G189=""),"OK","CHECK"),IF(B189="Cavity",IF(AND(C189="L"&amp;E189&amp;"-S"&amp;TEXT(F189,"00"),F189&gt;=1,F189&lt;=13,G189&gt;=1,G189&lt;=3),"OK","CHECK"),"CHECK")))</x:f>
        <x:v>OK</x:v>
      </x:c>
    </x:row>
    <x:row r="190">
      <x:c r="A190" s="13" t="str">
        <x:v>L24-S07-C1</x:v>
      </x:c>
      <x:c r="B190" s="13" t="str">
        <x:v>Cavity</x:v>
      </x:c>
      <x:c r="C190" s="13" t="str">
        <x:v>L24-S07</x:v>
      </x:c>
      <x:c r="D190" s="13" t="str">
        <x:v>KG01</x:v>
      </x:c>
      <x:c r="E190" s="13" t="n">
        <x:v>24</x:v>
      </x:c>
      <x:c r="F190" s="13" t="n">
        <x:v>7</x:v>
      </x:c>
      <x:c r="G190" s="13" t="n">
        <x:v>1</x:v>
      </x:c>
      <x:c r="H190" s="13" t="str">
        <x:v>Line 24 / Section 07 / Cavity 1</x:v>
      </x:c>
      <x:c r="I190" s="13" t="n">
        <x:v>1</x:v>
      </x:c>
      <x:c r="J190" s="18" t="str">
        <x:f>IF(B190="Line",IF(AND(C190="",F190="",G190=""),"OK","CHECK"),IF(B190="Section",IF(AND(C190="L"&amp;E190,F190&gt;=1,F190&lt;=13,G190=""),"OK","CHECK"),IF(B190="Cavity",IF(AND(C190="L"&amp;E190&amp;"-S"&amp;TEXT(F190,"00"),F190&gt;=1,F190&lt;=13,G190&gt;=1,G190&lt;=3),"OK","CHECK"),"CHECK")))</x:f>
        <x:v>OK</x:v>
      </x:c>
    </x:row>
    <x:row r="191">
      <x:c r="A191" s="13" t="str">
        <x:v>L24-S07-C2</x:v>
      </x:c>
      <x:c r="B191" s="13" t="str">
        <x:v>Cavity</x:v>
      </x:c>
      <x:c r="C191" s="13" t="str">
        <x:v>L24-S07</x:v>
      </x:c>
      <x:c r="D191" s="13" t="str">
        <x:v>KG01</x:v>
      </x:c>
      <x:c r="E191" s="13" t="n">
        <x:v>24</x:v>
      </x:c>
      <x:c r="F191" s="13" t="n">
        <x:v>7</x:v>
      </x:c>
      <x:c r="G191" s="13" t="n">
        <x:v>2</x:v>
      </x:c>
      <x:c r="H191" s="13" t="str">
        <x:v>Line 24 / Section 07 / Cavity 2</x:v>
      </x:c>
      <x:c r="I191" s="13" t="n">
        <x:v>1</x:v>
      </x:c>
      <x:c r="J191" s="18" t="str">
        <x:f>IF(B191="Line",IF(AND(C191="",F191="",G191=""),"OK","CHECK"),IF(B191="Section",IF(AND(C191="L"&amp;E191,F191&gt;=1,F191&lt;=13,G191=""),"OK","CHECK"),IF(B191="Cavity",IF(AND(C191="L"&amp;E191&amp;"-S"&amp;TEXT(F191,"00"),F191&gt;=1,F191&lt;=13,G191&gt;=1,G191&lt;=3),"OK","CHECK"),"CHECK")))</x:f>
        <x:v>OK</x:v>
      </x:c>
    </x:row>
    <x:row r="192">
      <x:c r="A192" s="13" t="str">
        <x:v>L24-S07-C3</x:v>
      </x:c>
      <x:c r="B192" s="13" t="str">
        <x:v>Cavity</x:v>
      </x:c>
      <x:c r="C192" s="13" t="str">
        <x:v>L24-S07</x:v>
      </x:c>
      <x:c r="D192" s="13" t="str">
        <x:v>KG01</x:v>
      </x:c>
      <x:c r="E192" s="13" t="n">
        <x:v>24</x:v>
      </x:c>
      <x:c r="F192" s="13" t="n">
        <x:v>7</x:v>
      </x:c>
      <x:c r="G192" s="13" t="n">
        <x:v>3</x:v>
      </x:c>
      <x:c r="H192" s="13" t="str">
        <x:v>Line 24 / Section 07 / Cavity 3</x:v>
      </x:c>
      <x:c r="I192" s="13" t="n">
        <x:v>1</x:v>
      </x:c>
      <x:c r="J192" s="18" t="str">
        <x:f>IF(B192="Line",IF(AND(C192="",F192="",G192=""),"OK","CHECK"),IF(B192="Section",IF(AND(C192="L"&amp;E192,F192&gt;=1,F192&lt;=13,G192=""),"OK","CHECK"),IF(B192="Cavity",IF(AND(C192="L"&amp;E192&amp;"-S"&amp;TEXT(F192,"00"),F192&gt;=1,F192&lt;=13,G192&gt;=1,G192&lt;=3),"OK","CHECK"),"CHECK")))</x:f>
        <x:v>OK</x:v>
      </x:c>
    </x:row>
    <x:row r="193">
      <x:c r="A193" s="13" t="str">
        <x:v>L24-S08</x:v>
      </x:c>
      <x:c r="B193" s="13" t="str">
        <x:v>Section</x:v>
      </x:c>
      <x:c r="C193" s="13" t="str">
        <x:v>L24</x:v>
      </x:c>
      <x:c r="D193" s="13" t="str">
        <x:v>KG01</x:v>
      </x:c>
      <x:c r="E193" s="13" t="n">
        <x:v>24</x:v>
      </x:c>
      <x:c r="F193" s="13" t="n">
        <x:v>8</x:v>
      </x:c>
      <x:c r="G193" s="13"/>
      <x:c r="H193" s="13" t="str">
        <x:v>Line 24 / Section 08</x:v>
      </x:c>
      <x:c r="I193" s="13" t="n">
        <x:v>1</x:v>
      </x:c>
      <x:c r="J193" s="18" t="str">
        <x:f>IF(B193="Line",IF(AND(C193="",F193="",G193=""),"OK","CHECK"),IF(B193="Section",IF(AND(C193="L"&amp;E193,F193&gt;=1,F193&lt;=13,G193=""),"OK","CHECK"),IF(B193="Cavity",IF(AND(C193="L"&amp;E193&amp;"-S"&amp;TEXT(F193,"00"),F193&gt;=1,F193&lt;=13,G193&gt;=1,G193&lt;=3),"OK","CHECK"),"CHECK")))</x:f>
        <x:v>OK</x:v>
      </x:c>
    </x:row>
    <x:row r="194">
      <x:c r="A194" s="13" t="str">
        <x:v>L24-S08-C1</x:v>
      </x:c>
      <x:c r="B194" s="13" t="str">
        <x:v>Cavity</x:v>
      </x:c>
      <x:c r="C194" s="13" t="str">
        <x:v>L24-S08</x:v>
      </x:c>
      <x:c r="D194" s="13" t="str">
        <x:v>KG01</x:v>
      </x:c>
      <x:c r="E194" s="13" t="n">
        <x:v>24</x:v>
      </x:c>
      <x:c r="F194" s="13" t="n">
        <x:v>8</x:v>
      </x:c>
      <x:c r="G194" s="13" t="n">
        <x:v>1</x:v>
      </x:c>
      <x:c r="H194" s="13" t="str">
        <x:v>Line 24 / Section 08 / Cavity 1</x:v>
      </x:c>
      <x:c r="I194" s="13" t="n">
        <x:v>1</x:v>
      </x:c>
      <x:c r="J194" s="18" t="str">
        <x:f>IF(B194="Line",IF(AND(C194="",F194="",G194=""),"OK","CHECK"),IF(B194="Section",IF(AND(C194="L"&amp;E194,F194&gt;=1,F194&lt;=13,G194=""),"OK","CHECK"),IF(B194="Cavity",IF(AND(C194="L"&amp;E194&amp;"-S"&amp;TEXT(F194,"00"),F194&gt;=1,F194&lt;=13,G194&gt;=1,G194&lt;=3),"OK","CHECK"),"CHECK")))</x:f>
        <x:v>OK</x:v>
      </x:c>
    </x:row>
    <x:row r="195">
      <x:c r="A195" s="13" t="str">
        <x:v>L24-S08-C2</x:v>
      </x:c>
      <x:c r="B195" s="13" t="str">
        <x:v>Cavity</x:v>
      </x:c>
      <x:c r="C195" s="13" t="str">
        <x:v>L24-S08</x:v>
      </x:c>
      <x:c r="D195" s="13" t="str">
        <x:v>KG01</x:v>
      </x:c>
      <x:c r="E195" s="13" t="n">
        <x:v>24</x:v>
      </x:c>
      <x:c r="F195" s="13" t="n">
        <x:v>8</x:v>
      </x:c>
      <x:c r="G195" s="13" t="n">
        <x:v>2</x:v>
      </x:c>
      <x:c r="H195" s="13" t="str">
        <x:v>Line 24 / Section 08 / Cavity 2</x:v>
      </x:c>
      <x:c r="I195" s="13" t="n">
        <x:v>1</x:v>
      </x:c>
      <x:c r="J195" s="18" t="str">
        <x:f>IF(B195="Line",IF(AND(C195="",F195="",G195=""),"OK","CHECK"),IF(B195="Section",IF(AND(C195="L"&amp;E195,F195&gt;=1,F195&lt;=13,G195=""),"OK","CHECK"),IF(B195="Cavity",IF(AND(C195="L"&amp;E195&amp;"-S"&amp;TEXT(F195,"00"),F195&gt;=1,F195&lt;=13,G195&gt;=1,G195&lt;=3),"OK","CHECK"),"CHECK")))</x:f>
        <x:v>OK</x:v>
      </x:c>
    </x:row>
    <x:row r="196">
      <x:c r="A196" s="13" t="str">
        <x:v>L24-S08-C3</x:v>
      </x:c>
      <x:c r="B196" s="13" t="str">
        <x:v>Cavity</x:v>
      </x:c>
      <x:c r="C196" s="13" t="str">
        <x:v>L24-S08</x:v>
      </x:c>
      <x:c r="D196" s="13" t="str">
        <x:v>KG01</x:v>
      </x:c>
      <x:c r="E196" s="13" t="n">
        <x:v>24</x:v>
      </x:c>
      <x:c r="F196" s="13" t="n">
        <x:v>8</x:v>
      </x:c>
      <x:c r="G196" s="13" t="n">
        <x:v>3</x:v>
      </x:c>
      <x:c r="H196" s="13" t="str">
        <x:v>Line 24 / Section 08 / Cavity 3</x:v>
      </x:c>
      <x:c r="I196" s="13" t="n">
        <x:v>1</x:v>
      </x:c>
      <x:c r="J196" s="18" t="str">
        <x:f>IF(B196="Line",IF(AND(C196="",F196="",G196=""),"OK","CHECK"),IF(B196="Section",IF(AND(C196="L"&amp;E196,F196&gt;=1,F196&lt;=13,G196=""),"OK","CHECK"),IF(B196="Cavity",IF(AND(C196="L"&amp;E196&amp;"-S"&amp;TEXT(F196,"00"),F196&gt;=1,F196&lt;=13,G196&gt;=1,G196&lt;=3),"OK","CHECK"),"CHECK")))</x:f>
        <x:v>OK</x:v>
      </x:c>
    </x:row>
    <x:row r="197">
      <x:c r="A197" s="13" t="str">
        <x:v>L24-S09</x:v>
      </x:c>
      <x:c r="B197" s="13" t="str">
        <x:v>Section</x:v>
      </x:c>
      <x:c r="C197" s="13" t="str">
        <x:v>L24</x:v>
      </x:c>
      <x:c r="D197" s="13" t="str">
        <x:v>KG01</x:v>
      </x:c>
      <x:c r="E197" s="13" t="n">
        <x:v>24</x:v>
      </x:c>
      <x:c r="F197" s="13" t="n">
        <x:v>9</x:v>
      </x:c>
      <x:c r="G197" s="13"/>
      <x:c r="H197" s="13" t="str">
        <x:v>Line 24 / Section 09</x:v>
      </x:c>
      <x:c r="I197" s="13" t="n">
        <x:v>1</x:v>
      </x:c>
      <x:c r="J197" s="18" t="str">
        <x:f>IF(B197="Line",IF(AND(C197="",F197="",G197=""),"OK","CHECK"),IF(B197="Section",IF(AND(C197="L"&amp;E197,F197&gt;=1,F197&lt;=13,G197=""),"OK","CHECK"),IF(B197="Cavity",IF(AND(C197="L"&amp;E197&amp;"-S"&amp;TEXT(F197,"00"),F197&gt;=1,F197&lt;=13,G197&gt;=1,G197&lt;=3),"OK","CHECK"),"CHECK")))</x:f>
        <x:v>OK</x:v>
      </x:c>
    </x:row>
    <x:row r="198">
      <x:c r="A198" s="13" t="str">
        <x:v>L24-S09-C1</x:v>
      </x:c>
      <x:c r="B198" s="13" t="str">
        <x:v>Cavity</x:v>
      </x:c>
      <x:c r="C198" s="13" t="str">
        <x:v>L24-S09</x:v>
      </x:c>
      <x:c r="D198" s="13" t="str">
        <x:v>KG01</x:v>
      </x:c>
      <x:c r="E198" s="13" t="n">
        <x:v>24</x:v>
      </x:c>
      <x:c r="F198" s="13" t="n">
        <x:v>9</x:v>
      </x:c>
      <x:c r="G198" s="13" t="n">
        <x:v>1</x:v>
      </x:c>
      <x:c r="H198" s="13" t="str">
        <x:v>Line 24 / Section 09 / Cavity 1</x:v>
      </x:c>
      <x:c r="I198" s="13" t="n">
        <x:v>1</x:v>
      </x:c>
      <x:c r="J198" s="18" t="str">
        <x:f>IF(B198="Line",IF(AND(C198="",F198="",G198=""),"OK","CHECK"),IF(B198="Section",IF(AND(C198="L"&amp;E198,F198&gt;=1,F198&lt;=13,G198=""),"OK","CHECK"),IF(B198="Cavity",IF(AND(C198="L"&amp;E198&amp;"-S"&amp;TEXT(F198,"00"),F198&gt;=1,F198&lt;=13,G198&gt;=1,G198&lt;=3),"OK","CHECK"),"CHECK")))</x:f>
        <x:v>OK</x:v>
      </x:c>
    </x:row>
    <x:row r="199">
      <x:c r="A199" s="13" t="str">
        <x:v>L24-S09-C2</x:v>
      </x:c>
      <x:c r="B199" s="13" t="str">
        <x:v>Cavity</x:v>
      </x:c>
      <x:c r="C199" s="13" t="str">
        <x:v>L24-S09</x:v>
      </x:c>
      <x:c r="D199" s="13" t="str">
        <x:v>KG01</x:v>
      </x:c>
      <x:c r="E199" s="13" t="n">
        <x:v>24</x:v>
      </x:c>
      <x:c r="F199" s="13" t="n">
        <x:v>9</x:v>
      </x:c>
      <x:c r="G199" s="13" t="n">
        <x:v>2</x:v>
      </x:c>
      <x:c r="H199" s="13" t="str">
        <x:v>Line 24 / Section 09 / Cavity 2</x:v>
      </x:c>
      <x:c r="I199" s="13" t="n">
        <x:v>1</x:v>
      </x:c>
      <x:c r="J199" s="18" t="str">
        <x:f>IF(B199="Line",IF(AND(C199="",F199="",G199=""),"OK","CHECK"),IF(B199="Section",IF(AND(C199="L"&amp;E199,F199&gt;=1,F199&lt;=13,G199=""),"OK","CHECK"),IF(B199="Cavity",IF(AND(C199="L"&amp;E199&amp;"-S"&amp;TEXT(F199,"00"),F199&gt;=1,F199&lt;=13,G199&gt;=1,G199&lt;=3),"OK","CHECK"),"CHECK")))</x:f>
        <x:v>OK</x:v>
      </x:c>
    </x:row>
    <x:row r="200">
      <x:c r="A200" s="13" t="str">
        <x:v>L24-S09-C3</x:v>
      </x:c>
      <x:c r="B200" s="13" t="str">
        <x:v>Cavity</x:v>
      </x:c>
      <x:c r="C200" s="13" t="str">
        <x:v>L24-S09</x:v>
      </x:c>
      <x:c r="D200" s="13" t="str">
        <x:v>KG01</x:v>
      </x:c>
      <x:c r="E200" s="13" t="n">
        <x:v>24</x:v>
      </x:c>
      <x:c r="F200" s="13" t="n">
        <x:v>9</x:v>
      </x:c>
      <x:c r="G200" s="13" t="n">
        <x:v>3</x:v>
      </x:c>
      <x:c r="H200" s="13" t="str">
        <x:v>Line 24 / Section 09 / Cavity 3</x:v>
      </x:c>
      <x:c r="I200" s="13" t="n">
        <x:v>1</x:v>
      </x:c>
      <x:c r="J200" s="18" t="str">
        <x:f>IF(B200="Line",IF(AND(C200="",F200="",G200=""),"OK","CHECK"),IF(B200="Section",IF(AND(C200="L"&amp;E200,F200&gt;=1,F200&lt;=13,G200=""),"OK","CHECK"),IF(B200="Cavity",IF(AND(C200="L"&amp;E200&amp;"-S"&amp;TEXT(F200,"00"),F200&gt;=1,F200&lt;=13,G200&gt;=1,G200&lt;=3),"OK","CHECK"),"CHECK")))</x:f>
        <x:v>OK</x:v>
      </x:c>
    </x:row>
    <x:row r="201">
      <x:c r="A201" s="13" t="str">
        <x:v>L24-S10</x:v>
      </x:c>
      <x:c r="B201" s="13" t="str">
        <x:v>Section</x:v>
      </x:c>
      <x:c r="C201" s="13" t="str">
        <x:v>L24</x:v>
      </x:c>
      <x:c r="D201" s="13" t="str">
        <x:v>KG01</x:v>
      </x:c>
      <x:c r="E201" s="13" t="n">
        <x:v>24</x:v>
      </x:c>
      <x:c r="F201" s="13" t="n">
        <x:v>10</x:v>
      </x:c>
      <x:c r="G201" s="13"/>
      <x:c r="H201" s="13" t="str">
        <x:v>Line 24 / Section 10</x:v>
      </x:c>
      <x:c r="I201" s="13" t="n">
        <x:v>1</x:v>
      </x:c>
      <x:c r="J201" s="18" t="str">
        <x:f>IF(B201="Line",IF(AND(C201="",F201="",G201=""),"OK","CHECK"),IF(B201="Section",IF(AND(C201="L"&amp;E201,F201&gt;=1,F201&lt;=13,G201=""),"OK","CHECK"),IF(B201="Cavity",IF(AND(C201="L"&amp;E201&amp;"-S"&amp;TEXT(F201,"00"),F201&gt;=1,F201&lt;=13,G201&gt;=1,G201&lt;=3),"OK","CHECK"),"CHECK")))</x:f>
        <x:v>OK</x:v>
      </x:c>
    </x:row>
    <x:row r="202">
      <x:c r="A202" s="13" t="str">
        <x:v>L24-S10-C1</x:v>
      </x:c>
      <x:c r="B202" s="13" t="str">
        <x:v>Cavity</x:v>
      </x:c>
      <x:c r="C202" s="13" t="str">
        <x:v>L24-S10</x:v>
      </x:c>
      <x:c r="D202" s="13" t="str">
        <x:v>KG01</x:v>
      </x:c>
      <x:c r="E202" s="13" t="n">
        <x:v>24</x:v>
      </x:c>
      <x:c r="F202" s="13" t="n">
        <x:v>10</x:v>
      </x:c>
      <x:c r="G202" s="13" t="n">
        <x:v>1</x:v>
      </x:c>
      <x:c r="H202" s="13" t="str">
        <x:v>Line 24 / Section 10 / Cavity 1</x:v>
      </x:c>
      <x:c r="I202" s="13" t="n">
        <x:v>1</x:v>
      </x:c>
      <x:c r="J202" s="18" t="str">
        <x:f>IF(B202="Line",IF(AND(C202="",F202="",G202=""),"OK","CHECK"),IF(B202="Section",IF(AND(C202="L"&amp;E202,F202&gt;=1,F202&lt;=13,G202=""),"OK","CHECK"),IF(B202="Cavity",IF(AND(C202="L"&amp;E202&amp;"-S"&amp;TEXT(F202,"00"),F202&gt;=1,F202&lt;=13,G202&gt;=1,G202&lt;=3),"OK","CHECK"),"CHECK")))</x:f>
        <x:v>OK</x:v>
      </x:c>
    </x:row>
    <x:row r="203">
      <x:c r="A203" s="13" t="str">
        <x:v>L24-S10-C2</x:v>
      </x:c>
      <x:c r="B203" s="13" t="str">
        <x:v>Cavity</x:v>
      </x:c>
      <x:c r="C203" s="13" t="str">
        <x:v>L24-S10</x:v>
      </x:c>
      <x:c r="D203" s="13" t="str">
        <x:v>KG01</x:v>
      </x:c>
      <x:c r="E203" s="13" t="n">
        <x:v>24</x:v>
      </x:c>
      <x:c r="F203" s="13" t="n">
        <x:v>10</x:v>
      </x:c>
      <x:c r="G203" s="13" t="n">
        <x:v>2</x:v>
      </x:c>
      <x:c r="H203" s="13" t="str">
        <x:v>Line 24 / Section 10 / Cavity 2</x:v>
      </x:c>
      <x:c r="I203" s="13" t="n">
        <x:v>1</x:v>
      </x:c>
      <x:c r="J203" s="18" t="str">
        <x:f>IF(B203="Line",IF(AND(C203="",F203="",G203=""),"OK","CHECK"),IF(B203="Section",IF(AND(C203="L"&amp;E203,F203&gt;=1,F203&lt;=13,G203=""),"OK","CHECK"),IF(B203="Cavity",IF(AND(C203="L"&amp;E203&amp;"-S"&amp;TEXT(F203,"00"),F203&gt;=1,F203&lt;=13,G203&gt;=1,G203&lt;=3),"OK","CHECK"),"CHECK")))</x:f>
        <x:v>OK</x:v>
      </x:c>
    </x:row>
    <x:row r="204">
      <x:c r="A204" s="13" t="str">
        <x:v>L24-S10-C3</x:v>
      </x:c>
      <x:c r="B204" s="13" t="str">
        <x:v>Cavity</x:v>
      </x:c>
      <x:c r="C204" s="13" t="str">
        <x:v>L24-S10</x:v>
      </x:c>
      <x:c r="D204" s="13" t="str">
        <x:v>KG01</x:v>
      </x:c>
      <x:c r="E204" s="13" t="n">
        <x:v>24</x:v>
      </x:c>
      <x:c r="F204" s="13" t="n">
        <x:v>10</x:v>
      </x:c>
      <x:c r="G204" s="13" t="n">
        <x:v>3</x:v>
      </x:c>
      <x:c r="H204" s="13" t="str">
        <x:v>Line 24 / Section 10 / Cavity 3</x:v>
      </x:c>
      <x:c r="I204" s="13" t="n">
        <x:v>1</x:v>
      </x:c>
      <x:c r="J204" s="18" t="str">
        <x:f>IF(B204="Line",IF(AND(C204="",F204="",G204=""),"OK","CHECK"),IF(B204="Section",IF(AND(C204="L"&amp;E204,F204&gt;=1,F204&lt;=13,G204=""),"OK","CHECK"),IF(B204="Cavity",IF(AND(C204="L"&amp;E204&amp;"-S"&amp;TEXT(F204,"00"),F204&gt;=1,F204&lt;=13,G204&gt;=1,G204&lt;=3),"OK","CHECK"),"CHECK")))</x:f>
        <x:v>OK</x:v>
      </x:c>
    </x:row>
    <x:row r="205">
      <x:c r="A205" s="13" t="str">
        <x:v>L24-S11</x:v>
      </x:c>
      <x:c r="B205" s="13" t="str">
        <x:v>Section</x:v>
      </x:c>
      <x:c r="C205" s="13" t="str">
        <x:v>L24</x:v>
      </x:c>
      <x:c r="D205" s="13" t="str">
        <x:v>KG01</x:v>
      </x:c>
      <x:c r="E205" s="13" t="n">
        <x:v>24</x:v>
      </x:c>
      <x:c r="F205" s="13" t="n">
        <x:v>11</x:v>
      </x:c>
      <x:c r="G205" s="13"/>
      <x:c r="H205" s="13" t="str">
        <x:v>Line 24 / Section 11</x:v>
      </x:c>
      <x:c r="I205" s="13" t="n">
        <x:v>1</x:v>
      </x:c>
      <x:c r="J205" s="18" t="str">
        <x:f>IF(B205="Line",IF(AND(C205="",F205="",G205=""),"OK","CHECK"),IF(B205="Section",IF(AND(C205="L"&amp;E205,F205&gt;=1,F205&lt;=13,G205=""),"OK","CHECK"),IF(B205="Cavity",IF(AND(C205="L"&amp;E205&amp;"-S"&amp;TEXT(F205,"00"),F205&gt;=1,F205&lt;=13,G205&gt;=1,G205&lt;=3),"OK","CHECK"),"CHECK")))</x:f>
        <x:v>OK</x:v>
      </x:c>
    </x:row>
    <x:row r="206">
      <x:c r="A206" s="13" t="str">
        <x:v>L24-S11-C1</x:v>
      </x:c>
      <x:c r="B206" s="13" t="str">
        <x:v>Cavity</x:v>
      </x:c>
      <x:c r="C206" s="13" t="str">
        <x:v>L24-S11</x:v>
      </x:c>
      <x:c r="D206" s="13" t="str">
        <x:v>KG01</x:v>
      </x:c>
      <x:c r="E206" s="13" t="n">
        <x:v>24</x:v>
      </x:c>
      <x:c r="F206" s="13" t="n">
        <x:v>11</x:v>
      </x:c>
      <x:c r="G206" s="13" t="n">
        <x:v>1</x:v>
      </x:c>
      <x:c r="H206" s="13" t="str">
        <x:v>Line 24 / Section 11 / Cavity 1</x:v>
      </x:c>
      <x:c r="I206" s="13" t="n">
        <x:v>1</x:v>
      </x:c>
      <x:c r="J206" s="18" t="str">
        <x:f>IF(B206="Line",IF(AND(C206="",F206="",G206=""),"OK","CHECK"),IF(B206="Section",IF(AND(C206="L"&amp;E206,F206&gt;=1,F206&lt;=13,G206=""),"OK","CHECK"),IF(B206="Cavity",IF(AND(C206="L"&amp;E206&amp;"-S"&amp;TEXT(F206,"00"),F206&gt;=1,F206&lt;=13,G206&gt;=1,G206&lt;=3),"OK","CHECK"),"CHECK")))</x:f>
        <x:v>OK</x:v>
      </x:c>
    </x:row>
    <x:row r="207">
      <x:c r="A207" s="13" t="str">
        <x:v>L24-S11-C2</x:v>
      </x:c>
      <x:c r="B207" s="13" t="str">
        <x:v>Cavity</x:v>
      </x:c>
      <x:c r="C207" s="13" t="str">
        <x:v>L24-S11</x:v>
      </x:c>
      <x:c r="D207" s="13" t="str">
        <x:v>KG01</x:v>
      </x:c>
      <x:c r="E207" s="13" t="n">
        <x:v>24</x:v>
      </x:c>
      <x:c r="F207" s="13" t="n">
        <x:v>11</x:v>
      </x:c>
      <x:c r="G207" s="13" t="n">
        <x:v>2</x:v>
      </x:c>
      <x:c r="H207" s="13" t="str">
        <x:v>Line 24 / Section 11 / Cavity 2</x:v>
      </x:c>
      <x:c r="I207" s="13" t="n">
        <x:v>1</x:v>
      </x:c>
      <x:c r="J207" s="18" t="str">
        <x:f>IF(B207="Line",IF(AND(C207="",F207="",G207=""),"OK","CHECK"),IF(B207="Section",IF(AND(C207="L"&amp;E207,F207&gt;=1,F207&lt;=13,G207=""),"OK","CHECK"),IF(B207="Cavity",IF(AND(C207="L"&amp;E207&amp;"-S"&amp;TEXT(F207,"00"),F207&gt;=1,F207&lt;=13,G207&gt;=1,G207&lt;=3),"OK","CHECK"),"CHECK")))</x:f>
        <x:v>OK</x:v>
      </x:c>
    </x:row>
    <x:row r="208">
      <x:c r="A208" s="13" t="str">
        <x:v>L24-S11-C3</x:v>
      </x:c>
      <x:c r="B208" s="13" t="str">
        <x:v>Cavity</x:v>
      </x:c>
      <x:c r="C208" s="13" t="str">
        <x:v>L24-S11</x:v>
      </x:c>
      <x:c r="D208" s="13" t="str">
        <x:v>KG01</x:v>
      </x:c>
      <x:c r="E208" s="13" t="n">
        <x:v>24</x:v>
      </x:c>
      <x:c r="F208" s="13" t="n">
        <x:v>11</x:v>
      </x:c>
      <x:c r="G208" s="13" t="n">
        <x:v>3</x:v>
      </x:c>
      <x:c r="H208" s="13" t="str">
        <x:v>Line 24 / Section 11 / Cavity 3</x:v>
      </x:c>
      <x:c r="I208" s="13" t="n">
        <x:v>1</x:v>
      </x:c>
      <x:c r="J208" s="18" t="str">
        <x:f>IF(B208="Line",IF(AND(C208="",F208="",G208=""),"OK","CHECK"),IF(B208="Section",IF(AND(C208="L"&amp;E208,F208&gt;=1,F208&lt;=13,G208=""),"OK","CHECK"),IF(B208="Cavity",IF(AND(C208="L"&amp;E208&amp;"-S"&amp;TEXT(F208,"00"),F208&gt;=1,F208&lt;=13,G208&gt;=1,G208&lt;=3),"OK","CHECK"),"CHECK")))</x:f>
        <x:v>OK</x:v>
      </x:c>
    </x:row>
    <x:row r="209">
      <x:c r="A209" s="13" t="str">
        <x:v>L24-S12</x:v>
      </x:c>
      <x:c r="B209" s="13" t="str">
        <x:v>Section</x:v>
      </x:c>
      <x:c r="C209" s="13" t="str">
        <x:v>L24</x:v>
      </x:c>
      <x:c r="D209" s="13" t="str">
        <x:v>KG01</x:v>
      </x:c>
      <x:c r="E209" s="13" t="n">
        <x:v>24</x:v>
      </x:c>
      <x:c r="F209" s="13" t="n">
        <x:v>12</x:v>
      </x:c>
      <x:c r="G209" s="13"/>
      <x:c r="H209" s="13" t="str">
        <x:v>Line 24 / Section 12</x:v>
      </x:c>
      <x:c r="I209" s="13" t="n">
        <x:v>1</x:v>
      </x:c>
      <x:c r="J209" s="18" t="str">
        <x:f>IF(B209="Line",IF(AND(C209="",F209="",G209=""),"OK","CHECK"),IF(B209="Section",IF(AND(C209="L"&amp;E209,F209&gt;=1,F209&lt;=13,G209=""),"OK","CHECK"),IF(B209="Cavity",IF(AND(C209="L"&amp;E209&amp;"-S"&amp;TEXT(F209,"00"),F209&gt;=1,F209&lt;=13,G209&gt;=1,G209&lt;=3),"OK","CHECK"),"CHECK")))</x:f>
        <x:v>OK</x:v>
      </x:c>
    </x:row>
    <x:row r="210">
      <x:c r="A210" s="13" t="str">
        <x:v>L24-S12-C1</x:v>
      </x:c>
      <x:c r="B210" s="13" t="str">
        <x:v>Cavity</x:v>
      </x:c>
      <x:c r="C210" s="13" t="str">
        <x:v>L24-S12</x:v>
      </x:c>
      <x:c r="D210" s="13" t="str">
        <x:v>KG01</x:v>
      </x:c>
      <x:c r="E210" s="13" t="n">
        <x:v>24</x:v>
      </x:c>
      <x:c r="F210" s="13" t="n">
        <x:v>12</x:v>
      </x:c>
      <x:c r="G210" s="13" t="n">
        <x:v>1</x:v>
      </x:c>
      <x:c r="H210" s="13" t="str">
        <x:v>Line 24 / Section 12 / Cavity 1</x:v>
      </x:c>
      <x:c r="I210" s="13" t="n">
        <x:v>1</x:v>
      </x:c>
      <x:c r="J210" s="18" t="str">
        <x:f>IF(B210="Line",IF(AND(C210="",F210="",G210=""),"OK","CHECK"),IF(B210="Section",IF(AND(C210="L"&amp;E210,F210&gt;=1,F210&lt;=13,G210=""),"OK","CHECK"),IF(B210="Cavity",IF(AND(C210="L"&amp;E210&amp;"-S"&amp;TEXT(F210,"00"),F210&gt;=1,F210&lt;=13,G210&gt;=1,G210&lt;=3),"OK","CHECK"),"CHECK")))</x:f>
        <x:v>OK</x:v>
      </x:c>
    </x:row>
    <x:row r="211">
      <x:c r="A211" s="13" t="str">
        <x:v>L24-S12-C2</x:v>
      </x:c>
      <x:c r="B211" s="13" t="str">
        <x:v>Cavity</x:v>
      </x:c>
      <x:c r="C211" s="13" t="str">
        <x:v>L24-S12</x:v>
      </x:c>
      <x:c r="D211" s="13" t="str">
        <x:v>KG01</x:v>
      </x:c>
      <x:c r="E211" s="13" t="n">
        <x:v>24</x:v>
      </x:c>
      <x:c r="F211" s="13" t="n">
        <x:v>12</x:v>
      </x:c>
      <x:c r="G211" s="13" t="n">
        <x:v>2</x:v>
      </x:c>
      <x:c r="H211" s="13" t="str">
        <x:v>Line 24 / Section 12 / Cavity 2</x:v>
      </x:c>
      <x:c r="I211" s="13" t="n">
        <x:v>1</x:v>
      </x:c>
      <x:c r="J211" s="18" t="str">
        <x:f>IF(B211="Line",IF(AND(C211="",F211="",G211=""),"OK","CHECK"),IF(B211="Section",IF(AND(C211="L"&amp;E211,F211&gt;=1,F211&lt;=13,G211=""),"OK","CHECK"),IF(B211="Cavity",IF(AND(C211="L"&amp;E211&amp;"-S"&amp;TEXT(F211,"00"),F211&gt;=1,F211&lt;=13,G211&gt;=1,G211&lt;=3),"OK","CHECK"),"CHECK")))</x:f>
        <x:v>OK</x:v>
      </x:c>
    </x:row>
    <x:row r="212">
      <x:c r="A212" s="13" t="str">
        <x:v>L24-S12-C3</x:v>
      </x:c>
      <x:c r="B212" s="13" t="str">
        <x:v>Cavity</x:v>
      </x:c>
      <x:c r="C212" s="13" t="str">
        <x:v>L24-S12</x:v>
      </x:c>
      <x:c r="D212" s="13" t="str">
        <x:v>KG01</x:v>
      </x:c>
      <x:c r="E212" s="13" t="n">
        <x:v>24</x:v>
      </x:c>
      <x:c r="F212" s="13" t="n">
        <x:v>12</x:v>
      </x:c>
      <x:c r="G212" s="13" t="n">
        <x:v>3</x:v>
      </x:c>
      <x:c r="H212" s="13" t="str">
        <x:v>Line 24 / Section 12 / Cavity 3</x:v>
      </x:c>
      <x:c r="I212" s="13" t="n">
        <x:v>1</x:v>
      </x:c>
      <x:c r="J212" s="18" t="str">
        <x:f>IF(B212="Line",IF(AND(C212="",F212="",G212=""),"OK","CHECK"),IF(B212="Section",IF(AND(C212="L"&amp;E212,F212&gt;=1,F212&lt;=13,G212=""),"OK","CHECK"),IF(B212="Cavity",IF(AND(C212="L"&amp;E212&amp;"-S"&amp;TEXT(F212,"00"),F212&gt;=1,F212&lt;=13,G212&gt;=1,G212&lt;=3),"OK","CHECK"),"CHECK")))</x:f>
        <x:v>OK</x:v>
      </x:c>
    </x:row>
    <x:row r="213">
      <x:c r="A213" s="13" t="str">
        <x:v>L24-S13</x:v>
      </x:c>
      <x:c r="B213" s="13" t="str">
        <x:v>Section</x:v>
      </x:c>
      <x:c r="C213" s="13" t="str">
        <x:v>L24</x:v>
      </x:c>
      <x:c r="D213" s="13" t="str">
        <x:v>KG01</x:v>
      </x:c>
      <x:c r="E213" s="13" t="n">
        <x:v>24</x:v>
      </x:c>
      <x:c r="F213" s="13" t="n">
        <x:v>13</x:v>
      </x:c>
      <x:c r="G213" s="13"/>
      <x:c r="H213" s="13" t="str">
        <x:v>Line 24 / Section 13</x:v>
      </x:c>
      <x:c r="I213" s="13" t="n">
        <x:v>1</x:v>
      </x:c>
      <x:c r="J213" s="18" t="str">
        <x:f>IF(B213="Line",IF(AND(C213="",F213="",G213=""),"OK","CHECK"),IF(B213="Section",IF(AND(C213="L"&amp;E213,F213&gt;=1,F213&lt;=13,G213=""),"OK","CHECK"),IF(B213="Cavity",IF(AND(C213="L"&amp;E213&amp;"-S"&amp;TEXT(F213,"00"),F213&gt;=1,F213&lt;=13,G213&gt;=1,G213&lt;=3),"OK","CHECK"),"CHECK")))</x:f>
        <x:v>OK</x:v>
      </x:c>
    </x:row>
    <x:row r="214">
      <x:c r="A214" s="13" t="str">
        <x:v>L24-S13-C1</x:v>
      </x:c>
      <x:c r="B214" s="13" t="str">
        <x:v>Cavity</x:v>
      </x:c>
      <x:c r="C214" s="13" t="str">
        <x:v>L24-S13</x:v>
      </x:c>
      <x:c r="D214" s="13" t="str">
        <x:v>KG01</x:v>
      </x:c>
      <x:c r="E214" s="13" t="n">
        <x:v>24</x:v>
      </x:c>
      <x:c r="F214" s="13" t="n">
        <x:v>13</x:v>
      </x:c>
      <x:c r="G214" s="13" t="n">
        <x:v>1</x:v>
      </x:c>
      <x:c r="H214" s="13" t="str">
        <x:v>Line 24 / Section 13 / Cavity 1</x:v>
      </x:c>
      <x:c r="I214" s="13" t="n">
        <x:v>1</x:v>
      </x:c>
      <x:c r="J214" s="18" t="str">
        <x:f>IF(B214="Line",IF(AND(C214="",F214="",G214=""),"OK","CHECK"),IF(B214="Section",IF(AND(C214="L"&amp;E214,F214&gt;=1,F214&lt;=13,G214=""),"OK","CHECK"),IF(B214="Cavity",IF(AND(C214="L"&amp;E214&amp;"-S"&amp;TEXT(F214,"00"),F214&gt;=1,F214&lt;=13,G214&gt;=1,G214&lt;=3),"OK","CHECK"),"CHECK")))</x:f>
        <x:v>OK</x:v>
      </x:c>
    </x:row>
    <x:row r="215">
      <x:c r="A215" s="13" t="str">
        <x:v>L24-S13-C2</x:v>
      </x:c>
      <x:c r="B215" s="13" t="str">
        <x:v>Cavity</x:v>
      </x:c>
      <x:c r="C215" s="13" t="str">
        <x:v>L24-S13</x:v>
      </x:c>
      <x:c r="D215" s="13" t="str">
        <x:v>KG01</x:v>
      </x:c>
      <x:c r="E215" s="13" t="n">
        <x:v>24</x:v>
      </x:c>
      <x:c r="F215" s="13" t="n">
        <x:v>13</x:v>
      </x:c>
      <x:c r="G215" s="13" t="n">
        <x:v>2</x:v>
      </x:c>
      <x:c r="H215" s="13" t="str">
        <x:v>Line 24 / Section 13 / Cavity 2</x:v>
      </x:c>
      <x:c r="I215" s="13" t="n">
        <x:v>1</x:v>
      </x:c>
      <x:c r="J215" s="18" t="str">
        <x:f>IF(B215="Line",IF(AND(C215="",F215="",G215=""),"OK","CHECK"),IF(B215="Section",IF(AND(C215="L"&amp;E215,F215&gt;=1,F215&lt;=13,G215=""),"OK","CHECK"),IF(B215="Cavity",IF(AND(C215="L"&amp;E215&amp;"-S"&amp;TEXT(F215,"00"),F215&gt;=1,F215&lt;=13,G215&gt;=1,G215&lt;=3),"OK","CHECK"),"CHECK")))</x:f>
        <x:v>OK</x:v>
      </x:c>
    </x:row>
    <x:row r="216">
      <x:c r="A216" s="13" t="str">
        <x:v>L24-S13-C3</x:v>
      </x:c>
      <x:c r="B216" s="13" t="str">
        <x:v>Cavity</x:v>
      </x:c>
      <x:c r="C216" s="13" t="str">
        <x:v>L24-S13</x:v>
      </x:c>
      <x:c r="D216" s="13" t="str">
        <x:v>KG01</x:v>
      </x:c>
      <x:c r="E216" s="13" t="n">
        <x:v>24</x:v>
      </x:c>
      <x:c r="F216" s="13" t="n">
        <x:v>13</x:v>
      </x:c>
      <x:c r="G216" s="13" t="n">
        <x:v>3</x:v>
      </x:c>
      <x:c r="H216" s="13" t="str">
        <x:v>Line 24 / Section 13 / Cavity 3</x:v>
      </x:c>
      <x:c r="I216" s="13" t="n">
        <x:v>1</x:v>
      </x:c>
      <x:c r="J216" s="18" t="str">
        <x:f>IF(B216="Line",IF(AND(C216="",F216="",G216=""),"OK","CHECK"),IF(B216="Section",IF(AND(C216="L"&amp;E216,F216&gt;=1,F216&lt;=13,G216=""),"OK","CHECK"),IF(B216="Cavity",IF(AND(C216="L"&amp;E216&amp;"-S"&amp;TEXT(F216,"00"),F216&gt;=1,F216&lt;=13,G216&gt;=1,G216&lt;=3),"OK","CHECK"),"CHECK")))</x:f>
        <x:v>OK</x:v>
      </x:c>
    </x:row>
    <x:row r="217">
      <x:c r="A217" s="13" t="str">
        <x:v>L25</x:v>
      </x:c>
      <x:c r="B217" s="13" t="str">
        <x:v>Line</x:v>
      </x:c>
      <x:c r="C217" s="13"/>
      <x:c r="D217" s="13" t="str">
        <x:v>KG01</x:v>
      </x:c>
      <x:c r="E217" s="13" t="n">
        <x:v>25</x:v>
      </x:c>
      <x:c r="F217" s="13"/>
      <x:c r="G217" s="13"/>
      <x:c r="H217" s="13" t="str">
        <x:v>Line 25</x:v>
      </x:c>
      <x:c r="I217" s="13" t="n">
        <x:v>1</x:v>
      </x:c>
      <x:c r="J217" s="18" t="str">
        <x:f>IF(B217="Line",IF(AND(C217="",F217="",G217=""),"OK","CHECK"),IF(B217="Section",IF(AND(C217="L"&amp;E217,F217&gt;=1,F217&lt;=13,G217=""),"OK","CHECK"),IF(B217="Cavity",IF(AND(C217="L"&amp;E217&amp;"-S"&amp;TEXT(F217,"00"),F217&gt;=1,F217&lt;=13,G217&gt;=1,G217&lt;=3),"OK","CHECK"),"CHECK")))</x:f>
        <x:v>OK</x:v>
      </x:c>
    </x:row>
    <x:row r="218">
      <x:c r="A218" s="13" t="str">
        <x:v>L25-S01</x:v>
      </x:c>
      <x:c r="B218" s="13" t="str">
        <x:v>Section</x:v>
      </x:c>
      <x:c r="C218" s="13" t="str">
        <x:v>L25</x:v>
      </x:c>
      <x:c r="D218" s="13" t="str">
        <x:v>KG01</x:v>
      </x:c>
      <x:c r="E218" s="13" t="n">
        <x:v>25</x:v>
      </x:c>
      <x:c r="F218" s="13" t="n">
        <x:v>1</x:v>
      </x:c>
      <x:c r="G218" s="13"/>
      <x:c r="H218" s="13" t="str">
        <x:v>Line 25 / Section 01</x:v>
      </x:c>
      <x:c r="I218" s="13" t="n">
        <x:v>1</x:v>
      </x:c>
      <x:c r="J218" s="18" t="str">
        <x:f>IF(B218="Line",IF(AND(C218="",F218="",G218=""),"OK","CHECK"),IF(B218="Section",IF(AND(C218="L"&amp;E218,F218&gt;=1,F218&lt;=13,G218=""),"OK","CHECK"),IF(B218="Cavity",IF(AND(C218="L"&amp;E218&amp;"-S"&amp;TEXT(F218,"00"),F218&gt;=1,F218&lt;=13,G218&gt;=1,G218&lt;=3),"OK","CHECK"),"CHECK")))</x:f>
        <x:v>OK</x:v>
      </x:c>
    </x:row>
    <x:row r="219">
      <x:c r="A219" s="13" t="str">
        <x:v>L25-S01-C1</x:v>
      </x:c>
      <x:c r="B219" s="13" t="str">
        <x:v>Cavity</x:v>
      </x:c>
      <x:c r="C219" s="13" t="str">
        <x:v>L25-S01</x:v>
      </x:c>
      <x:c r="D219" s="13" t="str">
        <x:v>KG01</x:v>
      </x:c>
      <x:c r="E219" s="13" t="n">
        <x:v>25</x:v>
      </x:c>
      <x:c r="F219" s="13" t="n">
        <x:v>1</x:v>
      </x:c>
      <x:c r="G219" s="13" t="n">
        <x:v>1</x:v>
      </x:c>
      <x:c r="H219" s="13" t="str">
        <x:v>Line 25 / Section 01 / Cavity 1</x:v>
      </x:c>
      <x:c r="I219" s="13" t="n">
        <x:v>1</x:v>
      </x:c>
      <x:c r="J219" s="18" t="str">
        <x:f>IF(B219="Line",IF(AND(C219="",F219="",G219=""),"OK","CHECK"),IF(B219="Section",IF(AND(C219="L"&amp;E219,F219&gt;=1,F219&lt;=13,G219=""),"OK","CHECK"),IF(B219="Cavity",IF(AND(C219="L"&amp;E219&amp;"-S"&amp;TEXT(F219,"00"),F219&gt;=1,F219&lt;=13,G219&gt;=1,G219&lt;=3),"OK","CHECK"),"CHECK")))</x:f>
        <x:v>OK</x:v>
      </x:c>
    </x:row>
    <x:row r="220">
      <x:c r="A220" s="13" t="str">
        <x:v>L25-S01-C2</x:v>
      </x:c>
      <x:c r="B220" s="13" t="str">
        <x:v>Cavity</x:v>
      </x:c>
      <x:c r="C220" s="13" t="str">
        <x:v>L25-S01</x:v>
      </x:c>
      <x:c r="D220" s="13" t="str">
        <x:v>KG01</x:v>
      </x:c>
      <x:c r="E220" s="13" t="n">
        <x:v>25</x:v>
      </x:c>
      <x:c r="F220" s="13" t="n">
        <x:v>1</x:v>
      </x:c>
      <x:c r="G220" s="13" t="n">
        <x:v>2</x:v>
      </x:c>
      <x:c r="H220" s="13" t="str">
        <x:v>Line 25 / Section 01 / Cavity 2</x:v>
      </x:c>
      <x:c r="I220" s="13" t="n">
        <x:v>1</x:v>
      </x:c>
      <x:c r="J220" s="18" t="str">
        <x:f>IF(B220="Line",IF(AND(C220="",F220="",G220=""),"OK","CHECK"),IF(B220="Section",IF(AND(C220="L"&amp;E220,F220&gt;=1,F220&lt;=13,G220=""),"OK","CHECK"),IF(B220="Cavity",IF(AND(C220="L"&amp;E220&amp;"-S"&amp;TEXT(F220,"00"),F220&gt;=1,F220&lt;=13,G220&gt;=1,G220&lt;=3),"OK","CHECK"),"CHECK")))</x:f>
        <x:v>OK</x:v>
      </x:c>
    </x:row>
    <x:row r="221">
      <x:c r="A221" s="13" t="str">
        <x:v>L25-S01-C3</x:v>
      </x:c>
      <x:c r="B221" s="13" t="str">
        <x:v>Cavity</x:v>
      </x:c>
      <x:c r="C221" s="13" t="str">
        <x:v>L25-S01</x:v>
      </x:c>
      <x:c r="D221" s="13" t="str">
        <x:v>KG01</x:v>
      </x:c>
      <x:c r="E221" s="13" t="n">
        <x:v>25</x:v>
      </x:c>
      <x:c r="F221" s="13" t="n">
        <x:v>1</x:v>
      </x:c>
      <x:c r="G221" s="13" t="n">
        <x:v>3</x:v>
      </x:c>
      <x:c r="H221" s="13" t="str">
        <x:v>Line 25 / Section 01 / Cavity 3</x:v>
      </x:c>
      <x:c r="I221" s="13" t="n">
        <x:v>1</x:v>
      </x:c>
      <x:c r="J221" s="18" t="str">
        <x:f>IF(B221="Line",IF(AND(C221="",F221="",G221=""),"OK","CHECK"),IF(B221="Section",IF(AND(C221="L"&amp;E221,F221&gt;=1,F221&lt;=13,G221=""),"OK","CHECK"),IF(B221="Cavity",IF(AND(C221="L"&amp;E221&amp;"-S"&amp;TEXT(F221,"00"),F221&gt;=1,F221&lt;=13,G221&gt;=1,G221&lt;=3),"OK","CHECK"),"CHECK")))</x:f>
        <x:v>OK</x:v>
      </x:c>
    </x:row>
    <x:row r="222">
      <x:c r="A222" s="13" t="str">
        <x:v>L25-S02</x:v>
      </x:c>
      <x:c r="B222" s="13" t="str">
        <x:v>Section</x:v>
      </x:c>
      <x:c r="C222" s="13" t="str">
        <x:v>L25</x:v>
      </x:c>
      <x:c r="D222" s="13" t="str">
        <x:v>KG01</x:v>
      </x:c>
      <x:c r="E222" s="13" t="n">
        <x:v>25</x:v>
      </x:c>
      <x:c r="F222" s="13" t="n">
        <x:v>2</x:v>
      </x:c>
      <x:c r="G222" s="13"/>
      <x:c r="H222" s="13" t="str">
        <x:v>Line 25 / Section 02</x:v>
      </x:c>
      <x:c r="I222" s="13" t="n">
        <x:v>1</x:v>
      </x:c>
      <x:c r="J222" s="18" t="str">
        <x:f>IF(B222="Line",IF(AND(C222="",F222="",G222=""),"OK","CHECK"),IF(B222="Section",IF(AND(C222="L"&amp;E222,F222&gt;=1,F222&lt;=13,G222=""),"OK","CHECK"),IF(B222="Cavity",IF(AND(C222="L"&amp;E222&amp;"-S"&amp;TEXT(F222,"00"),F222&gt;=1,F222&lt;=13,G222&gt;=1,G222&lt;=3),"OK","CHECK"),"CHECK")))</x:f>
        <x:v>OK</x:v>
      </x:c>
    </x:row>
    <x:row r="223">
      <x:c r="A223" s="13" t="str">
        <x:v>L25-S02-C1</x:v>
      </x:c>
      <x:c r="B223" s="13" t="str">
        <x:v>Cavity</x:v>
      </x:c>
      <x:c r="C223" s="13" t="str">
        <x:v>L25-S02</x:v>
      </x:c>
      <x:c r="D223" s="13" t="str">
        <x:v>KG01</x:v>
      </x:c>
      <x:c r="E223" s="13" t="n">
        <x:v>25</x:v>
      </x:c>
      <x:c r="F223" s="13" t="n">
        <x:v>2</x:v>
      </x:c>
      <x:c r="G223" s="13" t="n">
        <x:v>1</x:v>
      </x:c>
      <x:c r="H223" s="13" t="str">
        <x:v>Line 25 / Section 02 / Cavity 1</x:v>
      </x:c>
      <x:c r="I223" s="13" t="n">
        <x:v>1</x:v>
      </x:c>
      <x:c r="J223" s="18" t="str">
        <x:f>IF(B223="Line",IF(AND(C223="",F223="",G223=""),"OK","CHECK"),IF(B223="Section",IF(AND(C223="L"&amp;E223,F223&gt;=1,F223&lt;=13,G223=""),"OK","CHECK"),IF(B223="Cavity",IF(AND(C223="L"&amp;E223&amp;"-S"&amp;TEXT(F223,"00"),F223&gt;=1,F223&lt;=13,G223&gt;=1,G223&lt;=3),"OK","CHECK"),"CHECK")))</x:f>
        <x:v>OK</x:v>
      </x:c>
    </x:row>
    <x:row r="224">
      <x:c r="A224" s="13" t="str">
        <x:v>L25-S02-C2</x:v>
      </x:c>
      <x:c r="B224" s="13" t="str">
        <x:v>Cavity</x:v>
      </x:c>
      <x:c r="C224" s="13" t="str">
        <x:v>L25-S02</x:v>
      </x:c>
      <x:c r="D224" s="13" t="str">
        <x:v>KG01</x:v>
      </x:c>
      <x:c r="E224" s="13" t="n">
        <x:v>25</x:v>
      </x:c>
      <x:c r="F224" s="13" t="n">
        <x:v>2</x:v>
      </x:c>
      <x:c r="G224" s="13" t="n">
        <x:v>2</x:v>
      </x:c>
      <x:c r="H224" s="13" t="str">
        <x:v>Line 25 / Section 02 / Cavity 2</x:v>
      </x:c>
      <x:c r="I224" s="13" t="n">
        <x:v>1</x:v>
      </x:c>
      <x:c r="J224" s="18" t="str">
        <x:f>IF(B224="Line",IF(AND(C224="",F224="",G224=""),"OK","CHECK"),IF(B224="Section",IF(AND(C224="L"&amp;E224,F224&gt;=1,F224&lt;=13,G224=""),"OK","CHECK"),IF(B224="Cavity",IF(AND(C224="L"&amp;E224&amp;"-S"&amp;TEXT(F224,"00"),F224&gt;=1,F224&lt;=13,G224&gt;=1,G224&lt;=3),"OK","CHECK"),"CHECK")))</x:f>
        <x:v>OK</x:v>
      </x:c>
    </x:row>
    <x:row r="225">
      <x:c r="A225" s="13" t="str">
        <x:v>L25-S02-C3</x:v>
      </x:c>
      <x:c r="B225" s="13" t="str">
        <x:v>Cavity</x:v>
      </x:c>
      <x:c r="C225" s="13" t="str">
        <x:v>L25-S02</x:v>
      </x:c>
      <x:c r="D225" s="13" t="str">
        <x:v>KG01</x:v>
      </x:c>
      <x:c r="E225" s="13" t="n">
        <x:v>25</x:v>
      </x:c>
      <x:c r="F225" s="13" t="n">
        <x:v>2</x:v>
      </x:c>
      <x:c r="G225" s="13" t="n">
        <x:v>3</x:v>
      </x:c>
      <x:c r="H225" s="13" t="str">
        <x:v>Line 25 / Section 02 / Cavity 3</x:v>
      </x:c>
      <x:c r="I225" s="13" t="n">
        <x:v>1</x:v>
      </x:c>
      <x:c r="J225" s="18" t="str">
        <x:f>IF(B225="Line",IF(AND(C225="",F225="",G225=""),"OK","CHECK"),IF(B225="Section",IF(AND(C225="L"&amp;E225,F225&gt;=1,F225&lt;=13,G225=""),"OK","CHECK"),IF(B225="Cavity",IF(AND(C225="L"&amp;E225&amp;"-S"&amp;TEXT(F225,"00"),F225&gt;=1,F225&lt;=13,G225&gt;=1,G225&lt;=3),"OK","CHECK"),"CHECK")))</x:f>
        <x:v>OK</x:v>
      </x:c>
    </x:row>
    <x:row r="226">
      <x:c r="A226" s="13" t="str">
        <x:v>L25-S03</x:v>
      </x:c>
      <x:c r="B226" s="13" t="str">
        <x:v>Section</x:v>
      </x:c>
      <x:c r="C226" s="13" t="str">
        <x:v>L25</x:v>
      </x:c>
      <x:c r="D226" s="13" t="str">
        <x:v>KG01</x:v>
      </x:c>
      <x:c r="E226" s="13" t="n">
        <x:v>25</x:v>
      </x:c>
      <x:c r="F226" s="13" t="n">
        <x:v>3</x:v>
      </x:c>
      <x:c r="G226" s="13"/>
      <x:c r="H226" s="13" t="str">
        <x:v>Line 25 / Section 03</x:v>
      </x:c>
      <x:c r="I226" s="13" t="n">
        <x:v>1</x:v>
      </x:c>
      <x:c r="J226" s="18" t="str">
        <x:f>IF(B226="Line",IF(AND(C226="",F226="",G226=""),"OK","CHECK"),IF(B226="Section",IF(AND(C226="L"&amp;E226,F226&gt;=1,F226&lt;=13,G226=""),"OK","CHECK"),IF(B226="Cavity",IF(AND(C226="L"&amp;E226&amp;"-S"&amp;TEXT(F226,"00"),F226&gt;=1,F226&lt;=13,G226&gt;=1,G226&lt;=3),"OK","CHECK"),"CHECK")))</x:f>
        <x:v>OK</x:v>
      </x:c>
    </x:row>
    <x:row r="227">
      <x:c r="A227" s="13" t="str">
        <x:v>L25-S03-C1</x:v>
      </x:c>
      <x:c r="B227" s="13" t="str">
        <x:v>Cavity</x:v>
      </x:c>
      <x:c r="C227" s="13" t="str">
        <x:v>L25-S03</x:v>
      </x:c>
      <x:c r="D227" s="13" t="str">
        <x:v>KG01</x:v>
      </x:c>
      <x:c r="E227" s="13" t="n">
        <x:v>25</x:v>
      </x:c>
      <x:c r="F227" s="13" t="n">
        <x:v>3</x:v>
      </x:c>
      <x:c r="G227" s="13" t="n">
        <x:v>1</x:v>
      </x:c>
      <x:c r="H227" s="13" t="str">
        <x:v>Line 25 / Section 03 / Cavity 1</x:v>
      </x:c>
      <x:c r="I227" s="13" t="n">
        <x:v>1</x:v>
      </x:c>
      <x:c r="J227" s="18" t="str">
        <x:f>IF(B227="Line",IF(AND(C227="",F227="",G227=""),"OK","CHECK"),IF(B227="Section",IF(AND(C227="L"&amp;E227,F227&gt;=1,F227&lt;=13,G227=""),"OK","CHECK"),IF(B227="Cavity",IF(AND(C227="L"&amp;E227&amp;"-S"&amp;TEXT(F227,"00"),F227&gt;=1,F227&lt;=13,G227&gt;=1,G227&lt;=3),"OK","CHECK"),"CHECK")))</x:f>
        <x:v>OK</x:v>
      </x:c>
    </x:row>
    <x:row r="228">
      <x:c r="A228" s="13" t="str">
        <x:v>L25-S03-C2</x:v>
      </x:c>
      <x:c r="B228" s="13" t="str">
        <x:v>Cavity</x:v>
      </x:c>
      <x:c r="C228" s="13" t="str">
        <x:v>L25-S03</x:v>
      </x:c>
      <x:c r="D228" s="13" t="str">
        <x:v>KG01</x:v>
      </x:c>
      <x:c r="E228" s="13" t="n">
        <x:v>25</x:v>
      </x:c>
      <x:c r="F228" s="13" t="n">
        <x:v>3</x:v>
      </x:c>
      <x:c r="G228" s="13" t="n">
        <x:v>2</x:v>
      </x:c>
      <x:c r="H228" s="13" t="str">
        <x:v>Line 25 / Section 03 / Cavity 2</x:v>
      </x:c>
      <x:c r="I228" s="13" t="n">
        <x:v>1</x:v>
      </x:c>
      <x:c r="J228" s="18" t="str">
        <x:f>IF(B228="Line",IF(AND(C228="",F228="",G228=""),"OK","CHECK"),IF(B228="Section",IF(AND(C228="L"&amp;E228,F228&gt;=1,F228&lt;=13,G228=""),"OK","CHECK"),IF(B228="Cavity",IF(AND(C228="L"&amp;E228&amp;"-S"&amp;TEXT(F228,"00"),F228&gt;=1,F228&lt;=13,G228&gt;=1,G228&lt;=3),"OK","CHECK"),"CHECK")))</x:f>
        <x:v>OK</x:v>
      </x:c>
    </x:row>
    <x:row r="229">
      <x:c r="A229" s="13" t="str">
        <x:v>L25-S03-C3</x:v>
      </x:c>
      <x:c r="B229" s="13" t="str">
        <x:v>Cavity</x:v>
      </x:c>
      <x:c r="C229" s="13" t="str">
        <x:v>L25-S03</x:v>
      </x:c>
      <x:c r="D229" s="13" t="str">
        <x:v>KG01</x:v>
      </x:c>
      <x:c r="E229" s="13" t="n">
        <x:v>25</x:v>
      </x:c>
      <x:c r="F229" s="13" t="n">
        <x:v>3</x:v>
      </x:c>
      <x:c r="G229" s="13" t="n">
        <x:v>3</x:v>
      </x:c>
      <x:c r="H229" s="13" t="str">
        <x:v>Line 25 / Section 03 / Cavity 3</x:v>
      </x:c>
      <x:c r="I229" s="13" t="n">
        <x:v>1</x:v>
      </x:c>
      <x:c r="J229" s="18" t="str">
        <x:f>IF(B229="Line",IF(AND(C229="",F229="",G229=""),"OK","CHECK"),IF(B229="Section",IF(AND(C229="L"&amp;E229,F229&gt;=1,F229&lt;=13,G229=""),"OK","CHECK"),IF(B229="Cavity",IF(AND(C229="L"&amp;E229&amp;"-S"&amp;TEXT(F229,"00"),F229&gt;=1,F229&lt;=13,G229&gt;=1,G229&lt;=3),"OK","CHECK"),"CHECK")))</x:f>
        <x:v>OK</x:v>
      </x:c>
    </x:row>
    <x:row r="230">
      <x:c r="A230" s="13" t="str">
        <x:v>L25-S04</x:v>
      </x:c>
      <x:c r="B230" s="13" t="str">
        <x:v>Section</x:v>
      </x:c>
      <x:c r="C230" s="13" t="str">
        <x:v>L25</x:v>
      </x:c>
      <x:c r="D230" s="13" t="str">
        <x:v>KG01</x:v>
      </x:c>
      <x:c r="E230" s="13" t="n">
        <x:v>25</x:v>
      </x:c>
      <x:c r="F230" s="13" t="n">
        <x:v>4</x:v>
      </x:c>
      <x:c r="G230" s="13"/>
      <x:c r="H230" s="13" t="str">
        <x:v>Line 25 / Section 04</x:v>
      </x:c>
      <x:c r="I230" s="13" t="n">
        <x:v>1</x:v>
      </x:c>
      <x:c r="J230" s="18" t="str">
        <x:f>IF(B230="Line",IF(AND(C230="",F230="",G230=""),"OK","CHECK"),IF(B230="Section",IF(AND(C230="L"&amp;E230,F230&gt;=1,F230&lt;=13,G230=""),"OK","CHECK"),IF(B230="Cavity",IF(AND(C230="L"&amp;E230&amp;"-S"&amp;TEXT(F230,"00"),F230&gt;=1,F230&lt;=13,G230&gt;=1,G230&lt;=3),"OK","CHECK"),"CHECK")))</x:f>
        <x:v>OK</x:v>
      </x:c>
    </x:row>
    <x:row r="231">
      <x:c r="A231" s="13" t="str">
        <x:v>L25-S04-C1</x:v>
      </x:c>
      <x:c r="B231" s="13" t="str">
        <x:v>Cavity</x:v>
      </x:c>
      <x:c r="C231" s="13" t="str">
        <x:v>L25-S04</x:v>
      </x:c>
      <x:c r="D231" s="13" t="str">
        <x:v>KG01</x:v>
      </x:c>
      <x:c r="E231" s="13" t="n">
        <x:v>25</x:v>
      </x:c>
      <x:c r="F231" s="13" t="n">
        <x:v>4</x:v>
      </x:c>
      <x:c r="G231" s="13" t="n">
        <x:v>1</x:v>
      </x:c>
      <x:c r="H231" s="13" t="str">
        <x:v>Line 25 / Section 04 / Cavity 1</x:v>
      </x:c>
      <x:c r="I231" s="13" t="n">
        <x:v>1</x:v>
      </x:c>
      <x:c r="J231" s="18" t="str">
        <x:f>IF(B231="Line",IF(AND(C231="",F231="",G231=""),"OK","CHECK"),IF(B231="Section",IF(AND(C231="L"&amp;E231,F231&gt;=1,F231&lt;=13,G231=""),"OK","CHECK"),IF(B231="Cavity",IF(AND(C231="L"&amp;E231&amp;"-S"&amp;TEXT(F231,"00"),F231&gt;=1,F231&lt;=13,G231&gt;=1,G231&lt;=3),"OK","CHECK"),"CHECK")))</x:f>
        <x:v>OK</x:v>
      </x:c>
    </x:row>
    <x:row r="232">
      <x:c r="A232" s="13" t="str">
        <x:v>L25-S04-C2</x:v>
      </x:c>
      <x:c r="B232" s="13" t="str">
        <x:v>Cavity</x:v>
      </x:c>
      <x:c r="C232" s="13" t="str">
        <x:v>L25-S04</x:v>
      </x:c>
      <x:c r="D232" s="13" t="str">
        <x:v>KG01</x:v>
      </x:c>
      <x:c r="E232" s="13" t="n">
        <x:v>25</x:v>
      </x:c>
      <x:c r="F232" s="13" t="n">
        <x:v>4</x:v>
      </x:c>
      <x:c r="G232" s="13" t="n">
        <x:v>2</x:v>
      </x:c>
      <x:c r="H232" s="13" t="str">
        <x:v>Line 25 / Section 04 / Cavity 2</x:v>
      </x:c>
      <x:c r="I232" s="13" t="n">
        <x:v>1</x:v>
      </x:c>
      <x:c r="J232" s="18" t="str">
        <x:f>IF(B232="Line",IF(AND(C232="",F232="",G232=""),"OK","CHECK"),IF(B232="Section",IF(AND(C232="L"&amp;E232,F232&gt;=1,F232&lt;=13,G232=""),"OK","CHECK"),IF(B232="Cavity",IF(AND(C232="L"&amp;E232&amp;"-S"&amp;TEXT(F232,"00"),F232&gt;=1,F232&lt;=13,G232&gt;=1,G232&lt;=3),"OK","CHECK"),"CHECK")))</x:f>
        <x:v>OK</x:v>
      </x:c>
    </x:row>
    <x:row r="233">
      <x:c r="A233" s="13" t="str">
        <x:v>L25-S04-C3</x:v>
      </x:c>
      <x:c r="B233" s="13" t="str">
        <x:v>Cavity</x:v>
      </x:c>
      <x:c r="C233" s="13" t="str">
        <x:v>L25-S04</x:v>
      </x:c>
      <x:c r="D233" s="13" t="str">
        <x:v>KG01</x:v>
      </x:c>
      <x:c r="E233" s="13" t="n">
        <x:v>25</x:v>
      </x:c>
      <x:c r="F233" s="13" t="n">
        <x:v>4</x:v>
      </x:c>
      <x:c r="G233" s="13" t="n">
        <x:v>3</x:v>
      </x:c>
      <x:c r="H233" s="13" t="str">
        <x:v>Line 25 / Section 04 / Cavity 3</x:v>
      </x:c>
      <x:c r="I233" s="13" t="n">
        <x:v>1</x:v>
      </x:c>
      <x:c r="J233" s="18" t="str">
        <x:f>IF(B233="Line",IF(AND(C233="",F233="",G233=""),"OK","CHECK"),IF(B233="Section",IF(AND(C233="L"&amp;E233,F233&gt;=1,F233&lt;=13,G233=""),"OK","CHECK"),IF(B233="Cavity",IF(AND(C233="L"&amp;E233&amp;"-S"&amp;TEXT(F233,"00"),F233&gt;=1,F233&lt;=13,G233&gt;=1,G233&lt;=3),"OK","CHECK"),"CHECK")))</x:f>
        <x:v>OK</x:v>
      </x:c>
    </x:row>
    <x:row r="234">
      <x:c r="A234" s="13" t="str">
        <x:v>L25-S05</x:v>
      </x:c>
      <x:c r="B234" s="13" t="str">
        <x:v>Section</x:v>
      </x:c>
      <x:c r="C234" s="13" t="str">
        <x:v>L25</x:v>
      </x:c>
      <x:c r="D234" s="13" t="str">
        <x:v>KG01</x:v>
      </x:c>
      <x:c r="E234" s="13" t="n">
        <x:v>25</x:v>
      </x:c>
      <x:c r="F234" s="13" t="n">
        <x:v>5</x:v>
      </x:c>
      <x:c r="G234" s="13"/>
      <x:c r="H234" s="13" t="str">
        <x:v>Line 25 / Section 05</x:v>
      </x:c>
      <x:c r="I234" s="13" t="n">
        <x:v>1</x:v>
      </x:c>
      <x:c r="J234" s="18" t="str">
        <x:f>IF(B234="Line",IF(AND(C234="",F234="",G234=""),"OK","CHECK"),IF(B234="Section",IF(AND(C234="L"&amp;E234,F234&gt;=1,F234&lt;=13,G234=""),"OK","CHECK"),IF(B234="Cavity",IF(AND(C234="L"&amp;E234&amp;"-S"&amp;TEXT(F234,"00"),F234&gt;=1,F234&lt;=13,G234&gt;=1,G234&lt;=3),"OK","CHECK"),"CHECK")))</x:f>
        <x:v>OK</x:v>
      </x:c>
    </x:row>
    <x:row r="235">
      <x:c r="A235" s="13" t="str">
        <x:v>L25-S05-C1</x:v>
      </x:c>
      <x:c r="B235" s="13" t="str">
        <x:v>Cavity</x:v>
      </x:c>
      <x:c r="C235" s="13" t="str">
        <x:v>L25-S05</x:v>
      </x:c>
      <x:c r="D235" s="13" t="str">
        <x:v>KG01</x:v>
      </x:c>
      <x:c r="E235" s="13" t="n">
        <x:v>25</x:v>
      </x:c>
      <x:c r="F235" s="13" t="n">
        <x:v>5</x:v>
      </x:c>
      <x:c r="G235" s="13" t="n">
        <x:v>1</x:v>
      </x:c>
      <x:c r="H235" s="13" t="str">
        <x:v>Line 25 / Section 05 / Cavity 1</x:v>
      </x:c>
      <x:c r="I235" s="13" t="n">
        <x:v>1</x:v>
      </x:c>
      <x:c r="J235" s="18" t="str">
        <x:f>IF(B235="Line",IF(AND(C235="",F235="",G235=""),"OK","CHECK"),IF(B235="Section",IF(AND(C235="L"&amp;E235,F235&gt;=1,F235&lt;=13,G235=""),"OK","CHECK"),IF(B235="Cavity",IF(AND(C235="L"&amp;E235&amp;"-S"&amp;TEXT(F235,"00"),F235&gt;=1,F235&lt;=13,G235&gt;=1,G235&lt;=3),"OK","CHECK"),"CHECK")))</x:f>
        <x:v>OK</x:v>
      </x:c>
    </x:row>
    <x:row r="236">
      <x:c r="A236" s="13" t="str">
        <x:v>L25-S05-C2</x:v>
      </x:c>
      <x:c r="B236" s="13" t="str">
        <x:v>Cavity</x:v>
      </x:c>
      <x:c r="C236" s="13" t="str">
        <x:v>L25-S05</x:v>
      </x:c>
      <x:c r="D236" s="13" t="str">
        <x:v>KG01</x:v>
      </x:c>
      <x:c r="E236" s="13" t="n">
        <x:v>25</x:v>
      </x:c>
      <x:c r="F236" s="13" t="n">
        <x:v>5</x:v>
      </x:c>
      <x:c r="G236" s="13" t="n">
        <x:v>2</x:v>
      </x:c>
      <x:c r="H236" s="13" t="str">
        <x:v>Line 25 / Section 05 / Cavity 2</x:v>
      </x:c>
      <x:c r="I236" s="13" t="n">
        <x:v>1</x:v>
      </x:c>
      <x:c r="J236" s="18" t="str">
        <x:f>IF(B236="Line",IF(AND(C236="",F236="",G236=""),"OK","CHECK"),IF(B236="Section",IF(AND(C236="L"&amp;E236,F236&gt;=1,F236&lt;=13,G236=""),"OK","CHECK"),IF(B236="Cavity",IF(AND(C236="L"&amp;E236&amp;"-S"&amp;TEXT(F236,"00"),F236&gt;=1,F236&lt;=13,G236&gt;=1,G236&lt;=3),"OK","CHECK"),"CHECK")))</x:f>
        <x:v>OK</x:v>
      </x:c>
    </x:row>
    <x:row r="237">
      <x:c r="A237" s="13" t="str">
        <x:v>L25-S05-C3</x:v>
      </x:c>
      <x:c r="B237" s="13" t="str">
        <x:v>Cavity</x:v>
      </x:c>
      <x:c r="C237" s="13" t="str">
        <x:v>L25-S05</x:v>
      </x:c>
      <x:c r="D237" s="13" t="str">
        <x:v>KG01</x:v>
      </x:c>
      <x:c r="E237" s="13" t="n">
        <x:v>25</x:v>
      </x:c>
      <x:c r="F237" s="13" t="n">
        <x:v>5</x:v>
      </x:c>
      <x:c r="G237" s="13" t="n">
        <x:v>3</x:v>
      </x:c>
      <x:c r="H237" s="13" t="str">
        <x:v>Line 25 / Section 05 / Cavity 3</x:v>
      </x:c>
      <x:c r="I237" s="13" t="n">
        <x:v>1</x:v>
      </x:c>
      <x:c r="J237" s="18" t="str">
        <x:f>IF(B237="Line",IF(AND(C237="",F237="",G237=""),"OK","CHECK"),IF(B237="Section",IF(AND(C237="L"&amp;E237,F237&gt;=1,F237&lt;=13,G237=""),"OK","CHECK"),IF(B237="Cavity",IF(AND(C237="L"&amp;E237&amp;"-S"&amp;TEXT(F237,"00"),F237&gt;=1,F237&lt;=13,G237&gt;=1,G237&lt;=3),"OK","CHECK"),"CHECK")))</x:f>
        <x:v>OK</x:v>
      </x:c>
    </x:row>
    <x:row r="238">
      <x:c r="A238" s="13" t="str">
        <x:v>L25-S06</x:v>
      </x:c>
      <x:c r="B238" s="13" t="str">
        <x:v>Section</x:v>
      </x:c>
      <x:c r="C238" s="13" t="str">
        <x:v>L25</x:v>
      </x:c>
      <x:c r="D238" s="13" t="str">
        <x:v>KG01</x:v>
      </x:c>
      <x:c r="E238" s="13" t="n">
        <x:v>25</x:v>
      </x:c>
      <x:c r="F238" s="13" t="n">
        <x:v>6</x:v>
      </x:c>
      <x:c r="G238" s="13"/>
      <x:c r="H238" s="13" t="str">
        <x:v>Line 25 / Section 06</x:v>
      </x:c>
      <x:c r="I238" s="13" t="n">
        <x:v>1</x:v>
      </x:c>
      <x:c r="J238" s="18" t="str">
        <x:f>IF(B238="Line",IF(AND(C238="",F238="",G238=""),"OK","CHECK"),IF(B238="Section",IF(AND(C238="L"&amp;E238,F238&gt;=1,F238&lt;=13,G238=""),"OK","CHECK"),IF(B238="Cavity",IF(AND(C238="L"&amp;E238&amp;"-S"&amp;TEXT(F238,"00"),F238&gt;=1,F238&lt;=13,G238&gt;=1,G238&lt;=3),"OK","CHECK"),"CHECK")))</x:f>
        <x:v>OK</x:v>
      </x:c>
    </x:row>
    <x:row r="239">
      <x:c r="A239" s="13" t="str">
        <x:v>L25-S06-C1</x:v>
      </x:c>
      <x:c r="B239" s="13" t="str">
        <x:v>Cavity</x:v>
      </x:c>
      <x:c r="C239" s="13" t="str">
        <x:v>L25-S06</x:v>
      </x:c>
      <x:c r="D239" s="13" t="str">
        <x:v>KG01</x:v>
      </x:c>
      <x:c r="E239" s="13" t="n">
        <x:v>25</x:v>
      </x:c>
      <x:c r="F239" s="13" t="n">
        <x:v>6</x:v>
      </x:c>
      <x:c r="G239" s="13" t="n">
        <x:v>1</x:v>
      </x:c>
      <x:c r="H239" s="13" t="str">
        <x:v>Line 25 / Section 06 / Cavity 1</x:v>
      </x:c>
      <x:c r="I239" s="13" t="n">
        <x:v>1</x:v>
      </x:c>
      <x:c r="J239" s="18" t="str">
        <x:f>IF(B239="Line",IF(AND(C239="",F239="",G239=""),"OK","CHECK"),IF(B239="Section",IF(AND(C239="L"&amp;E239,F239&gt;=1,F239&lt;=13,G239=""),"OK","CHECK"),IF(B239="Cavity",IF(AND(C239="L"&amp;E239&amp;"-S"&amp;TEXT(F239,"00"),F239&gt;=1,F239&lt;=13,G239&gt;=1,G239&lt;=3),"OK","CHECK"),"CHECK")))</x:f>
        <x:v>OK</x:v>
      </x:c>
    </x:row>
    <x:row r="240">
      <x:c r="A240" s="13" t="str">
        <x:v>L25-S06-C2</x:v>
      </x:c>
      <x:c r="B240" s="13" t="str">
        <x:v>Cavity</x:v>
      </x:c>
      <x:c r="C240" s="13" t="str">
        <x:v>L25-S06</x:v>
      </x:c>
      <x:c r="D240" s="13" t="str">
        <x:v>KG01</x:v>
      </x:c>
      <x:c r="E240" s="13" t="n">
        <x:v>25</x:v>
      </x:c>
      <x:c r="F240" s="13" t="n">
        <x:v>6</x:v>
      </x:c>
      <x:c r="G240" s="13" t="n">
        <x:v>2</x:v>
      </x:c>
      <x:c r="H240" s="13" t="str">
        <x:v>Line 25 / Section 06 / Cavity 2</x:v>
      </x:c>
      <x:c r="I240" s="13" t="n">
        <x:v>1</x:v>
      </x:c>
      <x:c r="J240" s="18" t="str">
        <x:f>IF(B240="Line",IF(AND(C240="",F240="",G240=""),"OK","CHECK"),IF(B240="Section",IF(AND(C240="L"&amp;E240,F240&gt;=1,F240&lt;=13,G240=""),"OK","CHECK"),IF(B240="Cavity",IF(AND(C240="L"&amp;E240&amp;"-S"&amp;TEXT(F240,"00"),F240&gt;=1,F240&lt;=13,G240&gt;=1,G240&lt;=3),"OK","CHECK"),"CHECK")))</x:f>
        <x:v>OK</x:v>
      </x:c>
    </x:row>
    <x:row r="241">
      <x:c r="A241" s="13" t="str">
        <x:v>L25-S06-C3</x:v>
      </x:c>
      <x:c r="B241" s="13" t="str">
        <x:v>Cavity</x:v>
      </x:c>
      <x:c r="C241" s="13" t="str">
        <x:v>L25-S06</x:v>
      </x:c>
      <x:c r="D241" s="13" t="str">
        <x:v>KG01</x:v>
      </x:c>
      <x:c r="E241" s="13" t="n">
        <x:v>25</x:v>
      </x:c>
      <x:c r="F241" s="13" t="n">
        <x:v>6</x:v>
      </x:c>
      <x:c r="G241" s="13" t="n">
        <x:v>3</x:v>
      </x:c>
      <x:c r="H241" s="13" t="str">
        <x:v>Line 25 / Section 06 / Cavity 3</x:v>
      </x:c>
      <x:c r="I241" s="13" t="n">
        <x:v>1</x:v>
      </x:c>
      <x:c r="J241" s="18" t="str">
        <x:f>IF(B241="Line",IF(AND(C241="",F241="",G241=""),"OK","CHECK"),IF(B241="Section",IF(AND(C241="L"&amp;E241,F241&gt;=1,F241&lt;=13,G241=""),"OK","CHECK"),IF(B241="Cavity",IF(AND(C241="L"&amp;E241&amp;"-S"&amp;TEXT(F241,"00"),F241&gt;=1,F241&lt;=13,G241&gt;=1,G241&lt;=3),"OK","CHECK"),"CHECK")))</x:f>
        <x:v>OK</x:v>
      </x:c>
    </x:row>
    <x:row r="242">
      <x:c r="A242" s="13" t="str">
        <x:v>L25-S07</x:v>
      </x:c>
      <x:c r="B242" s="13" t="str">
        <x:v>Section</x:v>
      </x:c>
      <x:c r="C242" s="13" t="str">
        <x:v>L25</x:v>
      </x:c>
      <x:c r="D242" s="13" t="str">
        <x:v>KG01</x:v>
      </x:c>
      <x:c r="E242" s="13" t="n">
        <x:v>25</x:v>
      </x:c>
      <x:c r="F242" s="13" t="n">
        <x:v>7</x:v>
      </x:c>
      <x:c r="G242" s="13"/>
      <x:c r="H242" s="13" t="str">
        <x:v>Line 25 / Section 07</x:v>
      </x:c>
      <x:c r="I242" s="13" t="n">
        <x:v>1</x:v>
      </x:c>
      <x:c r="J242" s="18" t="str">
        <x:f>IF(B242="Line",IF(AND(C242="",F242="",G242=""),"OK","CHECK"),IF(B242="Section",IF(AND(C242="L"&amp;E242,F242&gt;=1,F242&lt;=13,G242=""),"OK","CHECK"),IF(B242="Cavity",IF(AND(C242="L"&amp;E242&amp;"-S"&amp;TEXT(F242,"00"),F242&gt;=1,F242&lt;=13,G242&gt;=1,G242&lt;=3),"OK","CHECK"),"CHECK")))</x:f>
        <x:v>OK</x:v>
      </x:c>
    </x:row>
    <x:row r="243">
      <x:c r="A243" s="13" t="str">
        <x:v>L25-S07-C1</x:v>
      </x:c>
      <x:c r="B243" s="13" t="str">
        <x:v>Cavity</x:v>
      </x:c>
      <x:c r="C243" s="13" t="str">
        <x:v>L25-S07</x:v>
      </x:c>
      <x:c r="D243" s="13" t="str">
        <x:v>KG01</x:v>
      </x:c>
      <x:c r="E243" s="13" t="n">
        <x:v>25</x:v>
      </x:c>
      <x:c r="F243" s="13" t="n">
        <x:v>7</x:v>
      </x:c>
      <x:c r="G243" s="13" t="n">
        <x:v>1</x:v>
      </x:c>
      <x:c r="H243" s="13" t="str">
        <x:v>Line 25 / Section 07 / Cavity 1</x:v>
      </x:c>
      <x:c r="I243" s="13" t="n">
        <x:v>1</x:v>
      </x:c>
      <x:c r="J243" s="18" t="str">
        <x:f>IF(B243="Line",IF(AND(C243="",F243="",G243=""),"OK","CHECK"),IF(B243="Section",IF(AND(C243="L"&amp;E243,F243&gt;=1,F243&lt;=13,G243=""),"OK","CHECK"),IF(B243="Cavity",IF(AND(C243="L"&amp;E243&amp;"-S"&amp;TEXT(F243,"00"),F243&gt;=1,F243&lt;=13,G243&gt;=1,G243&lt;=3),"OK","CHECK"),"CHECK")))</x:f>
        <x:v>OK</x:v>
      </x:c>
    </x:row>
    <x:row r="244">
      <x:c r="A244" s="13" t="str">
        <x:v>L25-S07-C2</x:v>
      </x:c>
      <x:c r="B244" s="13" t="str">
        <x:v>Cavity</x:v>
      </x:c>
      <x:c r="C244" s="13" t="str">
        <x:v>L25-S07</x:v>
      </x:c>
      <x:c r="D244" s="13" t="str">
        <x:v>KG01</x:v>
      </x:c>
      <x:c r="E244" s="13" t="n">
        <x:v>25</x:v>
      </x:c>
      <x:c r="F244" s="13" t="n">
        <x:v>7</x:v>
      </x:c>
      <x:c r="G244" s="13" t="n">
        <x:v>2</x:v>
      </x:c>
      <x:c r="H244" s="13" t="str">
        <x:v>Line 25 / Section 07 / Cavity 2</x:v>
      </x:c>
      <x:c r="I244" s="13" t="n">
        <x:v>1</x:v>
      </x:c>
      <x:c r="J244" s="18" t="str">
        <x:f>IF(B244="Line",IF(AND(C244="",F244="",G244=""),"OK","CHECK"),IF(B244="Section",IF(AND(C244="L"&amp;E244,F244&gt;=1,F244&lt;=13,G244=""),"OK","CHECK"),IF(B244="Cavity",IF(AND(C244="L"&amp;E244&amp;"-S"&amp;TEXT(F244,"00"),F244&gt;=1,F244&lt;=13,G244&gt;=1,G244&lt;=3),"OK","CHECK"),"CHECK")))</x:f>
        <x:v>OK</x:v>
      </x:c>
    </x:row>
    <x:row r="245">
      <x:c r="A245" s="13" t="str">
        <x:v>L25-S07-C3</x:v>
      </x:c>
      <x:c r="B245" s="13" t="str">
        <x:v>Cavity</x:v>
      </x:c>
      <x:c r="C245" s="13" t="str">
        <x:v>L25-S07</x:v>
      </x:c>
      <x:c r="D245" s="13" t="str">
        <x:v>KG01</x:v>
      </x:c>
      <x:c r="E245" s="13" t="n">
        <x:v>25</x:v>
      </x:c>
      <x:c r="F245" s="13" t="n">
        <x:v>7</x:v>
      </x:c>
      <x:c r="G245" s="13" t="n">
        <x:v>3</x:v>
      </x:c>
      <x:c r="H245" s="13" t="str">
        <x:v>Line 25 / Section 07 / Cavity 3</x:v>
      </x:c>
      <x:c r="I245" s="13" t="n">
        <x:v>1</x:v>
      </x:c>
      <x:c r="J245" s="18" t="str">
        <x:f>IF(B245="Line",IF(AND(C245="",F245="",G245=""),"OK","CHECK"),IF(B245="Section",IF(AND(C245="L"&amp;E245,F245&gt;=1,F245&lt;=13,G245=""),"OK","CHECK"),IF(B245="Cavity",IF(AND(C245="L"&amp;E245&amp;"-S"&amp;TEXT(F245,"00"),F245&gt;=1,F245&lt;=13,G245&gt;=1,G245&lt;=3),"OK","CHECK"),"CHECK")))</x:f>
        <x:v>OK</x:v>
      </x:c>
    </x:row>
    <x:row r="246">
      <x:c r="A246" s="13" t="str">
        <x:v>L25-S08</x:v>
      </x:c>
      <x:c r="B246" s="13" t="str">
        <x:v>Section</x:v>
      </x:c>
      <x:c r="C246" s="13" t="str">
        <x:v>L25</x:v>
      </x:c>
      <x:c r="D246" s="13" t="str">
        <x:v>KG01</x:v>
      </x:c>
      <x:c r="E246" s="13" t="n">
        <x:v>25</x:v>
      </x:c>
      <x:c r="F246" s="13" t="n">
        <x:v>8</x:v>
      </x:c>
      <x:c r="G246" s="13"/>
      <x:c r="H246" s="13" t="str">
        <x:v>Line 25 / Section 08</x:v>
      </x:c>
      <x:c r="I246" s="13" t="n">
        <x:v>1</x:v>
      </x:c>
      <x:c r="J246" s="18" t="str">
        <x:f>IF(B246="Line",IF(AND(C246="",F246="",G246=""),"OK","CHECK"),IF(B246="Section",IF(AND(C246="L"&amp;E246,F246&gt;=1,F246&lt;=13,G246=""),"OK","CHECK"),IF(B246="Cavity",IF(AND(C246="L"&amp;E246&amp;"-S"&amp;TEXT(F246,"00"),F246&gt;=1,F246&lt;=13,G246&gt;=1,G246&lt;=3),"OK","CHECK"),"CHECK")))</x:f>
        <x:v>OK</x:v>
      </x:c>
    </x:row>
    <x:row r="247">
      <x:c r="A247" s="13" t="str">
        <x:v>L25-S08-C1</x:v>
      </x:c>
      <x:c r="B247" s="13" t="str">
        <x:v>Cavity</x:v>
      </x:c>
      <x:c r="C247" s="13" t="str">
        <x:v>L25-S08</x:v>
      </x:c>
      <x:c r="D247" s="13" t="str">
        <x:v>KG01</x:v>
      </x:c>
      <x:c r="E247" s="13" t="n">
        <x:v>25</x:v>
      </x:c>
      <x:c r="F247" s="13" t="n">
        <x:v>8</x:v>
      </x:c>
      <x:c r="G247" s="13" t="n">
        <x:v>1</x:v>
      </x:c>
      <x:c r="H247" s="13" t="str">
        <x:v>Line 25 / Section 08 / Cavity 1</x:v>
      </x:c>
      <x:c r="I247" s="13" t="n">
        <x:v>1</x:v>
      </x:c>
      <x:c r="J247" s="18" t="str">
        <x:f>IF(B247="Line",IF(AND(C247="",F247="",G247=""),"OK","CHECK"),IF(B247="Section",IF(AND(C247="L"&amp;E247,F247&gt;=1,F247&lt;=13,G247=""),"OK","CHECK"),IF(B247="Cavity",IF(AND(C247="L"&amp;E247&amp;"-S"&amp;TEXT(F247,"00"),F247&gt;=1,F247&lt;=13,G247&gt;=1,G247&lt;=3),"OK","CHECK"),"CHECK")))</x:f>
        <x:v>OK</x:v>
      </x:c>
    </x:row>
    <x:row r="248">
      <x:c r="A248" s="13" t="str">
        <x:v>L25-S08-C2</x:v>
      </x:c>
      <x:c r="B248" s="13" t="str">
        <x:v>Cavity</x:v>
      </x:c>
      <x:c r="C248" s="13" t="str">
        <x:v>L25-S08</x:v>
      </x:c>
      <x:c r="D248" s="13" t="str">
        <x:v>KG01</x:v>
      </x:c>
      <x:c r="E248" s="13" t="n">
        <x:v>25</x:v>
      </x:c>
      <x:c r="F248" s="13" t="n">
        <x:v>8</x:v>
      </x:c>
      <x:c r="G248" s="13" t="n">
        <x:v>2</x:v>
      </x:c>
      <x:c r="H248" s="13" t="str">
        <x:v>Line 25 / Section 08 / Cavity 2</x:v>
      </x:c>
      <x:c r="I248" s="13" t="n">
        <x:v>1</x:v>
      </x:c>
      <x:c r="J248" s="18" t="str">
        <x:f>IF(B248="Line",IF(AND(C248="",F248="",G248=""),"OK","CHECK"),IF(B248="Section",IF(AND(C248="L"&amp;E248,F248&gt;=1,F248&lt;=13,G248=""),"OK","CHECK"),IF(B248="Cavity",IF(AND(C248="L"&amp;E248&amp;"-S"&amp;TEXT(F248,"00"),F248&gt;=1,F248&lt;=13,G248&gt;=1,G248&lt;=3),"OK","CHECK"),"CHECK")))</x:f>
        <x:v>OK</x:v>
      </x:c>
    </x:row>
    <x:row r="249">
      <x:c r="A249" s="13" t="str">
        <x:v>L25-S08-C3</x:v>
      </x:c>
      <x:c r="B249" s="13" t="str">
        <x:v>Cavity</x:v>
      </x:c>
      <x:c r="C249" s="13" t="str">
        <x:v>L25-S08</x:v>
      </x:c>
      <x:c r="D249" s="13" t="str">
        <x:v>KG01</x:v>
      </x:c>
      <x:c r="E249" s="13" t="n">
        <x:v>25</x:v>
      </x:c>
      <x:c r="F249" s="13" t="n">
        <x:v>8</x:v>
      </x:c>
      <x:c r="G249" s="13" t="n">
        <x:v>3</x:v>
      </x:c>
      <x:c r="H249" s="13" t="str">
        <x:v>Line 25 / Section 08 / Cavity 3</x:v>
      </x:c>
      <x:c r="I249" s="13" t="n">
        <x:v>1</x:v>
      </x:c>
      <x:c r="J249" s="18" t="str">
        <x:f>IF(B249="Line",IF(AND(C249="",F249="",G249=""),"OK","CHECK"),IF(B249="Section",IF(AND(C249="L"&amp;E249,F249&gt;=1,F249&lt;=13,G249=""),"OK","CHECK"),IF(B249="Cavity",IF(AND(C249="L"&amp;E249&amp;"-S"&amp;TEXT(F249,"00"),F249&gt;=1,F249&lt;=13,G249&gt;=1,G249&lt;=3),"OK","CHECK"),"CHECK")))</x:f>
        <x:v>OK</x:v>
      </x:c>
    </x:row>
    <x:row r="250">
      <x:c r="A250" s="13" t="str">
        <x:v>L25-S09</x:v>
      </x:c>
      <x:c r="B250" s="13" t="str">
        <x:v>Section</x:v>
      </x:c>
      <x:c r="C250" s="13" t="str">
        <x:v>L25</x:v>
      </x:c>
      <x:c r="D250" s="13" t="str">
        <x:v>KG01</x:v>
      </x:c>
      <x:c r="E250" s="13" t="n">
        <x:v>25</x:v>
      </x:c>
      <x:c r="F250" s="13" t="n">
        <x:v>9</x:v>
      </x:c>
      <x:c r="G250" s="13"/>
      <x:c r="H250" s="13" t="str">
        <x:v>Line 25 / Section 09</x:v>
      </x:c>
      <x:c r="I250" s="13" t="n">
        <x:v>1</x:v>
      </x:c>
      <x:c r="J250" s="18" t="str">
        <x:f>IF(B250="Line",IF(AND(C250="",F250="",G250=""),"OK","CHECK"),IF(B250="Section",IF(AND(C250="L"&amp;E250,F250&gt;=1,F250&lt;=13,G250=""),"OK","CHECK"),IF(B250="Cavity",IF(AND(C250="L"&amp;E250&amp;"-S"&amp;TEXT(F250,"00"),F250&gt;=1,F250&lt;=13,G250&gt;=1,G250&lt;=3),"OK","CHECK"),"CHECK")))</x:f>
        <x:v>OK</x:v>
      </x:c>
    </x:row>
    <x:row r="251">
      <x:c r="A251" s="13" t="str">
        <x:v>L25-S09-C1</x:v>
      </x:c>
      <x:c r="B251" s="13" t="str">
        <x:v>Cavity</x:v>
      </x:c>
      <x:c r="C251" s="13" t="str">
        <x:v>L25-S09</x:v>
      </x:c>
      <x:c r="D251" s="13" t="str">
        <x:v>KG01</x:v>
      </x:c>
      <x:c r="E251" s="13" t="n">
        <x:v>25</x:v>
      </x:c>
      <x:c r="F251" s="13" t="n">
        <x:v>9</x:v>
      </x:c>
      <x:c r="G251" s="13" t="n">
        <x:v>1</x:v>
      </x:c>
      <x:c r="H251" s="13" t="str">
        <x:v>Line 25 / Section 09 / Cavity 1</x:v>
      </x:c>
      <x:c r="I251" s="13" t="n">
        <x:v>1</x:v>
      </x:c>
      <x:c r="J251" s="18" t="str">
        <x:f>IF(B251="Line",IF(AND(C251="",F251="",G251=""),"OK","CHECK"),IF(B251="Section",IF(AND(C251="L"&amp;E251,F251&gt;=1,F251&lt;=13,G251=""),"OK","CHECK"),IF(B251="Cavity",IF(AND(C251="L"&amp;E251&amp;"-S"&amp;TEXT(F251,"00"),F251&gt;=1,F251&lt;=13,G251&gt;=1,G251&lt;=3),"OK","CHECK"),"CHECK")))</x:f>
        <x:v>OK</x:v>
      </x:c>
    </x:row>
    <x:row r="252">
      <x:c r="A252" s="13" t="str">
        <x:v>L25-S09-C2</x:v>
      </x:c>
      <x:c r="B252" s="13" t="str">
        <x:v>Cavity</x:v>
      </x:c>
      <x:c r="C252" s="13" t="str">
        <x:v>L25-S09</x:v>
      </x:c>
      <x:c r="D252" s="13" t="str">
        <x:v>KG01</x:v>
      </x:c>
      <x:c r="E252" s="13" t="n">
        <x:v>25</x:v>
      </x:c>
      <x:c r="F252" s="13" t="n">
        <x:v>9</x:v>
      </x:c>
      <x:c r="G252" s="13" t="n">
        <x:v>2</x:v>
      </x:c>
      <x:c r="H252" s="13" t="str">
        <x:v>Line 25 / Section 09 / Cavity 2</x:v>
      </x:c>
      <x:c r="I252" s="13" t="n">
        <x:v>1</x:v>
      </x:c>
      <x:c r="J252" s="18" t="str">
        <x:f>IF(B252="Line",IF(AND(C252="",F252="",G252=""),"OK","CHECK"),IF(B252="Section",IF(AND(C252="L"&amp;E252,F252&gt;=1,F252&lt;=13,G252=""),"OK","CHECK"),IF(B252="Cavity",IF(AND(C252="L"&amp;E252&amp;"-S"&amp;TEXT(F252,"00"),F252&gt;=1,F252&lt;=13,G252&gt;=1,G252&lt;=3),"OK","CHECK"),"CHECK")))</x:f>
        <x:v>OK</x:v>
      </x:c>
    </x:row>
    <x:row r="253">
      <x:c r="A253" s="13" t="str">
        <x:v>L25-S09-C3</x:v>
      </x:c>
      <x:c r="B253" s="13" t="str">
        <x:v>Cavity</x:v>
      </x:c>
      <x:c r="C253" s="13" t="str">
        <x:v>L25-S09</x:v>
      </x:c>
      <x:c r="D253" s="13" t="str">
        <x:v>KG01</x:v>
      </x:c>
      <x:c r="E253" s="13" t="n">
        <x:v>25</x:v>
      </x:c>
      <x:c r="F253" s="13" t="n">
        <x:v>9</x:v>
      </x:c>
      <x:c r="G253" s="13" t="n">
        <x:v>3</x:v>
      </x:c>
      <x:c r="H253" s="13" t="str">
        <x:v>Line 25 / Section 09 / Cavity 3</x:v>
      </x:c>
      <x:c r="I253" s="13" t="n">
        <x:v>1</x:v>
      </x:c>
      <x:c r="J253" s="18" t="str">
        <x:f>IF(B253="Line",IF(AND(C253="",F253="",G253=""),"OK","CHECK"),IF(B253="Section",IF(AND(C253="L"&amp;E253,F253&gt;=1,F253&lt;=13,G253=""),"OK","CHECK"),IF(B253="Cavity",IF(AND(C253="L"&amp;E253&amp;"-S"&amp;TEXT(F253,"00"),F253&gt;=1,F253&lt;=13,G253&gt;=1,G253&lt;=3),"OK","CHECK"),"CHECK")))</x:f>
        <x:v>OK</x:v>
      </x:c>
    </x:row>
    <x:row r="254">
      <x:c r="A254" s="13" t="str">
        <x:v>L25-S10</x:v>
      </x:c>
      <x:c r="B254" s="13" t="str">
        <x:v>Section</x:v>
      </x:c>
      <x:c r="C254" s="13" t="str">
        <x:v>L25</x:v>
      </x:c>
      <x:c r="D254" s="13" t="str">
        <x:v>KG01</x:v>
      </x:c>
      <x:c r="E254" s="13" t="n">
        <x:v>25</x:v>
      </x:c>
      <x:c r="F254" s="13" t="n">
        <x:v>10</x:v>
      </x:c>
      <x:c r="G254" s="13"/>
      <x:c r="H254" s="13" t="str">
        <x:v>Line 25 / Section 10</x:v>
      </x:c>
      <x:c r="I254" s="13" t="n">
        <x:v>1</x:v>
      </x:c>
      <x:c r="J254" s="18" t="str">
        <x:f>IF(B254="Line",IF(AND(C254="",F254="",G254=""),"OK","CHECK"),IF(B254="Section",IF(AND(C254="L"&amp;E254,F254&gt;=1,F254&lt;=13,G254=""),"OK","CHECK"),IF(B254="Cavity",IF(AND(C254="L"&amp;E254&amp;"-S"&amp;TEXT(F254,"00"),F254&gt;=1,F254&lt;=13,G254&gt;=1,G254&lt;=3),"OK","CHECK"),"CHECK")))</x:f>
        <x:v>OK</x:v>
      </x:c>
    </x:row>
    <x:row r="255">
      <x:c r="A255" s="13" t="str">
        <x:v>L25-S10-C1</x:v>
      </x:c>
      <x:c r="B255" s="13" t="str">
        <x:v>Cavity</x:v>
      </x:c>
      <x:c r="C255" s="13" t="str">
        <x:v>L25-S10</x:v>
      </x:c>
      <x:c r="D255" s="13" t="str">
        <x:v>KG01</x:v>
      </x:c>
      <x:c r="E255" s="13" t="n">
        <x:v>25</x:v>
      </x:c>
      <x:c r="F255" s="13" t="n">
        <x:v>10</x:v>
      </x:c>
      <x:c r="G255" s="13" t="n">
        <x:v>1</x:v>
      </x:c>
      <x:c r="H255" s="13" t="str">
        <x:v>Line 25 / Section 10 / Cavity 1</x:v>
      </x:c>
      <x:c r="I255" s="13" t="n">
        <x:v>1</x:v>
      </x:c>
      <x:c r="J255" s="18" t="str">
        <x:f>IF(B255="Line",IF(AND(C255="",F255="",G255=""),"OK","CHECK"),IF(B255="Section",IF(AND(C255="L"&amp;E255,F255&gt;=1,F255&lt;=13,G255=""),"OK","CHECK"),IF(B255="Cavity",IF(AND(C255="L"&amp;E255&amp;"-S"&amp;TEXT(F255,"00"),F255&gt;=1,F255&lt;=13,G255&gt;=1,G255&lt;=3),"OK","CHECK"),"CHECK")))</x:f>
        <x:v>OK</x:v>
      </x:c>
    </x:row>
    <x:row r="256">
      <x:c r="A256" s="13" t="str">
        <x:v>L25-S10-C2</x:v>
      </x:c>
      <x:c r="B256" s="13" t="str">
        <x:v>Cavity</x:v>
      </x:c>
      <x:c r="C256" s="13" t="str">
        <x:v>L25-S10</x:v>
      </x:c>
      <x:c r="D256" s="13" t="str">
        <x:v>KG01</x:v>
      </x:c>
      <x:c r="E256" s="13" t="n">
        <x:v>25</x:v>
      </x:c>
      <x:c r="F256" s="13" t="n">
        <x:v>10</x:v>
      </x:c>
      <x:c r="G256" s="13" t="n">
        <x:v>2</x:v>
      </x:c>
      <x:c r="H256" s="13" t="str">
        <x:v>Line 25 / Section 10 / Cavity 2</x:v>
      </x:c>
      <x:c r="I256" s="13" t="n">
        <x:v>1</x:v>
      </x:c>
      <x:c r="J256" s="18" t="str">
        <x:f>IF(B256="Line",IF(AND(C256="",F256="",G256=""),"OK","CHECK"),IF(B256="Section",IF(AND(C256="L"&amp;E256,F256&gt;=1,F256&lt;=13,G256=""),"OK","CHECK"),IF(B256="Cavity",IF(AND(C256="L"&amp;E256&amp;"-S"&amp;TEXT(F256,"00"),F256&gt;=1,F256&lt;=13,G256&gt;=1,G256&lt;=3),"OK","CHECK"),"CHECK")))</x:f>
        <x:v>OK</x:v>
      </x:c>
    </x:row>
    <x:row r="257">
      <x:c r="A257" s="13" t="str">
        <x:v>L25-S10-C3</x:v>
      </x:c>
      <x:c r="B257" s="13" t="str">
        <x:v>Cavity</x:v>
      </x:c>
      <x:c r="C257" s="13" t="str">
        <x:v>L25-S10</x:v>
      </x:c>
      <x:c r="D257" s="13" t="str">
        <x:v>KG01</x:v>
      </x:c>
      <x:c r="E257" s="13" t="n">
        <x:v>25</x:v>
      </x:c>
      <x:c r="F257" s="13" t="n">
        <x:v>10</x:v>
      </x:c>
      <x:c r="G257" s="13" t="n">
        <x:v>3</x:v>
      </x:c>
      <x:c r="H257" s="13" t="str">
        <x:v>Line 25 / Section 10 / Cavity 3</x:v>
      </x:c>
      <x:c r="I257" s="13" t="n">
        <x:v>1</x:v>
      </x:c>
      <x:c r="J257" s="18" t="str">
        <x:f>IF(B257="Line",IF(AND(C257="",F257="",G257=""),"OK","CHECK"),IF(B257="Section",IF(AND(C257="L"&amp;E257,F257&gt;=1,F257&lt;=13,G257=""),"OK","CHECK"),IF(B257="Cavity",IF(AND(C257="L"&amp;E257&amp;"-S"&amp;TEXT(F257,"00"),F257&gt;=1,F257&lt;=13,G257&gt;=1,G257&lt;=3),"OK","CHECK"),"CHECK")))</x:f>
        <x:v>OK</x:v>
      </x:c>
    </x:row>
    <x:row r="258">
      <x:c r="A258" s="13" t="str">
        <x:v>L25-S11</x:v>
      </x:c>
      <x:c r="B258" s="13" t="str">
        <x:v>Section</x:v>
      </x:c>
      <x:c r="C258" s="13" t="str">
        <x:v>L25</x:v>
      </x:c>
      <x:c r="D258" s="13" t="str">
        <x:v>KG01</x:v>
      </x:c>
      <x:c r="E258" s="13" t="n">
        <x:v>25</x:v>
      </x:c>
      <x:c r="F258" s="13" t="n">
        <x:v>11</x:v>
      </x:c>
      <x:c r="G258" s="13"/>
      <x:c r="H258" s="13" t="str">
        <x:v>Line 25 / Section 11</x:v>
      </x:c>
      <x:c r="I258" s="13" t="n">
        <x:v>1</x:v>
      </x:c>
      <x:c r="J258" s="18" t="str">
        <x:f>IF(B258="Line",IF(AND(C258="",F258="",G258=""),"OK","CHECK"),IF(B258="Section",IF(AND(C258="L"&amp;E258,F258&gt;=1,F258&lt;=13,G258=""),"OK","CHECK"),IF(B258="Cavity",IF(AND(C258="L"&amp;E258&amp;"-S"&amp;TEXT(F258,"00"),F258&gt;=1,F258&lt;=13,G258&gt;=1,G258&lt;=3),"OK","CHECK"),"CHECK")))</x:f>
        <x:v>OK</x:v>
      </x:c>
    </x:row>
    <x:row r="259">
      <x:c r="A259" s="13" t="str">
        <x:v>L25-S11-C1</x:v>
      </x:c>
      <x:c r="B259" s="13" t="str">
        <x:v>Cavity</x:v>
      </x:c>
      <x:c r="C259" s="13" t="str">
        <x:v>L25-S11</x:v>
      </x:c>
      <x:c r="D259" s="13" t="str">
        <x:v>KG01</x:v>
      </x:c>
      <x:c r="E259" s="13" t="n">
        <x:v>25</x:v>
      </x:c>
      <x:c r="F259" s="13" t="n">
        <x:v>11</x:v>
      </x:c>
      <x:c r="G259" s="13" t="n">
        <x:v>1</x:v>
      </x:c>
      <x:c r="H259" s="13" t="str">
        <x:v>Line 25 / Section 11 / Cavity 1</x:v>
      </x:c>
      <x:c r="I259" s="13" t="n">
        <x:v>1</x:v>
      </x:c>
      <x:c r="J259" s="18" t="str">
        <x:f>IF(B259="Line",IF(AND(C259="",F259="",G259=""),"OK","CHECK"),IF(B259="Section",IF(AND(C259="L"&amp;E259,F259&gt;=1,F259&lt;=13,G259=""),"OK","CHECK"),IF(B259="Cavity",IF(AND(C259="L"&amp;E259&amp;"-S"&amp;TEXT(F259,"00"),F259&gt;=1,F259&lt;=13,G259&gt;=1,G259&lt;=3),"OK","CHECK"),"CHECK")))</x:f>
        <x:v>OK</x:v>
      </x:c>
    </x:row>
    <x:row r="260">
      <x:c r="A260" s="13" t="str">
        <x:v>L25-S11-C2</x:v>
      </x:c>
      <x:c r="B260" s="13" t="str">
        <x:v>Cavity</x:v>
      </x:c>
      <x:c r="C260" s="13" t="str">
        <x:v>L25-S11</x:v>
      </x:c>
      <x:c r="D260" s="13" t="str">
        <x:v>KG01</x:v>
      </x:c>
      <x:c r="E260" s="13" t="n">
        <x:v>25</x:v>
      </x:c>
      <x:c r="F260" s="13" t="n">
        <x:v>11</x:v>
      </x:c>
      <x:c r="G260" s="13" t="n">
        <x:v>2</x:v>
      </x:c>
      <x:c r="H260" s="13" t="str">
        <x:v>Line 25 / Section 11 / Cavity 2</x:v>
      </x:c>
      <x:c r="I260" s="13" t="n">
        <x:v>1</x:v>
      </x:c>
      <x:c r="J260" s="18" t="str">
        <x:f>IF(B260="Line",IF(AND(C260="",F260="",G260=""),"OK","CHECK"),IF(B260="Section",IF(AND(C260="L"&amp;E260,F260&gt;=1,F260&lt;=13,G260=""),"OK","CHECK"),IF(B260="Cavity",IF(AND(C260="L"&amp;E260&amp;"-S"&amp;TEXT(F260,"00"),F260&gt;=1,F260&lt;=13,G260&gt;=1,G260&lt;=3),"OK","CHECK"),"CHECK")))</x:f>
        <x:v>OK</x:v>
      </x:c>
    </x:row>
    <x:row r="261">
      <x:c r="A261" s="13" t="str">
        <x:v>L25-S11-C3</x:v>
      </x:c>
      <x:c r="B261" s="13" t="str">
        <x:v>Cavity</x:v>
      </x:c>
      <x:c r="C261" s="13" t="str">
        <x:v>L25-S11</x:v>
      </x:c>
      <x:c r="D261" s="13" t="str">
        <x:v>KG01</x:v>
      </x:c>
      <x:c r="E261" s="13" t="n">
        <x:v>25</x:v>
      </x:c>
      <x:c r="F261" s="13" t="n">
        <x:v>11</x:v>
      </x:c>
      <x:c r="G261" s="13" t="n">
        <x:v>3</x:v>
      </x:c>
      <x:c r="H261" s="13" t="str">
        <x:v>Line 25 / Section 11 / Cavity 3</x:v>
      </x:c>
      <x:c r="I261" s="13" t="n">
        <x:v>1</x:v>
      </x:c>
      <x:c r="J261" s="18" t="str">
        <x:f>IF(B261="Line",IF(AND(C261="",F261="",G261=""),"OK","CHECK"),IF(B261="Section",IF(AND(C261="L"&amp;E261,F261&gt;=1,F261&lt;=13,G261=""),"OK","CHECK"),IF(B261="Cavity",IF(AND(C261="L"&amp;E261&amp;"-S"&amp;TEXT(F261,"00"),F261&gt;=1,F261&lt;=13,G261&gt;=1,G261&lt;=3),"OK","CHECK"),"CHECK")))</x:f>
        <x:v>OK</x:v>
      </x:c>
    </x:row>
    <x:row r="262">
      <x:c r="A262" s="13" t="str">
        <x:v>L25-S12</x:v>
      </x:c>
      <x:c r="B262" s="13" t="str">
        <x:v>Section</x:v>
      </x:c>
      <x:c r="C262" s="13" t="str">
        <x:v>L25</x:v>
      </x:c>
      <x:c r="D262" s="13" t="str">
        <x:v>KG01</x:v>
      </x:c>
      <x:c r="E262" s="13" t="n">
        <x:v>25</x:v>
      </x:c>
      <x:c r="F262" s="13" t="n">
        <x:v>12</x:v>
      </x:c>
      <x:c r="G262" s="13"/>
      <x:c r="H262" s="13" t="str">
        <x:v>Line 25 / Section 12</x:v>
      </x:c>
      <x:c r="I262" s="13" t="n">
        <x:v>1</x:v>
      </x:c>
      <x:c r="J262" s="18" t="str">
        <x:f>IF(B262="Line",IF(AND(C262="",F262="",G262=""),"OK","CHECK"),IF(B262="Section",IF(AND(C262="L"&amp;E262,F262&gt;=1,F262&lt;=13,G262=""),"OK","CHECK"),IF(B262="Cavity",IF(AND(C262="L"&amp;E262&amp;"-S"&amp;TEXT(F262,"00"),F262&gt;=1,F262&lt;=13,G262&gt;=1,G262&lt;=3),"OK","CHECK"),"CHECK")))</x:f>
        <x:v>OK</x:v>
      </x:c>
    </x:row>
    <x:row r="263">
      <x:c r="A263" s="13" t="str">
        <x:v>L25-S12-C1</x:v>
      </x:c>
      <x:c r="B263" s="13" t="str">
        <x:v>Cavity</x:v>
      </x:c>
      <x:c r="C263" s="13" t="str">
        <x:v>L25-S12</x:v>
      </x:c>
      <x:c r="D263" s="13" t="str">
        <x:v>KG01</x:v>
      </x:c>
      <x:c r="E263" s="13" t="n">
        <x:v>25</x:v>
      </x:c>
      <x:c r="F263" s="13" t="n">
        <x:v>12</x:v>
      </x:c>
      <x:c r="G263" s="13" t="n">
        <x:v>1</x:v>
      </x:c>
      <x:c r="H263" s="13" t="str">
        <x:v>Line 25 / Section 12 / Cavity 1</x:v>
      </x:c>
      <x:c r="I263" s="13" t="n">
        <x:v>1</x:v>
      </x:c>
      <x:c r="J263" s="18" t="str">
        <x:f>IF(B263="Line",IF(AND(C263="",F263="",G263=""),"OK","CHECK"),IF(B263="Section",IF(AND(C263="L"&amp;E263,F263&gt;=1,F263&lt;=13,G263=""),"OK","CHECK"),IF(B263="Cavity",IF(AND(C263="L"&amp;E263&amp;"-S"&amp;TEXT(F263,"00"),F263&gt;=1,F263&lt;=13,G263&gt;=1,G263&lt;=3),"OK","CHECK"),"CHECK")))</x:f>
        <x:v>OK</x:v>
      </x:c>
    </x:row>
    <x:row r="264">
      <x:c r="A264" s="13" t="str">
        <x:v>L25-S12-C2</x:v>
      </x:c>
      <x:c r="B264" s="13" t="str">
        <x:v>Cavity</x:v>
      </x:c>
      <x:c r="C264" s="13" t="str">
        <x:v>L25-S12</x:v>
      </x:c>
      <x:c r="D264" s="13" t="str">
        <x:v>KG01</x:v>
      </x:c>
      <x:c r="E264" s="13" t="n">
        <x:v>25</x:v>
      </x:c>
      <x:c r="F264" s="13" t="n">
        <x:v>12</x:v>
      </x:c>
      <x:c r="G264" s="13" t="n">
        <x:v>2</x:v>
      </x:c>
      <x:c r="H264" s="13" t="str">
        <x:v>Line 25 / Section 12 / Cavity 2</x:v>
      </x:c>
      <x:c r="I264" s="13" t="n">
        <x:v>1</x:v>
      </x:c>
      <x:c r="J264" s="18" t="str">
        <x:f>IF(B264="Line",IF(AND(C264="",F264="",G264=""),"OK","CHECK"),IF(B264="Section",IF(AND(C264="L"&amp;E264,F264&gt;=1,F264&lt;=13,G264=""),"OK","CHECK"),IF(B264="Cavity",IF(AND(C264="L"&amp;E264&amp;"-S"&amp;TEXT(F264,"00"),F264&gt;=1,F264&lt;=13,G264&gt;=1,G264&lt;=3),"OK","CHECK"),"CHECK")))</x:f>
        <x:v>OK</x:v>
      </x:c>
    </x:row>
    <x:row r="265">
      <x:c r="A265" s="13" t="str">
        <x:v>L25-S12-C3</x:v>
      </x:c>
      <x:c r="B265" s="13" t="str">
        <x:v>Cavity</x:v>
      </x:c>
      <x:c r="C265" s="13" t="str">
        <x:v>L25-S12</x:v>
      </x:c>
      <x:c r="D265" s="13" t="str">
        <x:v>KG01</x:v>
      </x:c>
      <x:c r="E265" s="13" t="n">
        <x:v>25</x:v>
      </x:c>
      <x:c r="F265" s="13" t="n">
        <x:v>12</x:v>
      </x:c>
      <x:c r="G265" s="13" t="n">
        <x:v>3</x:v>
      </x:c>
      <x:c r="H265" s="13" t="str">
        <x:v>Line 25 / Section 12 / Cavity 3</x:v>
      </x:c>
      <x:c r="I265" s="13" t="n">
        <x:v>1</x:v>
      </x:c>
      <x:c r="J265" s="18" t="str">
        <x:f>IF(B265="Line",IF(AND(C265="",F265="",G265=""),"OK","CHECK"),IF(B265="Section",IF(AND(C265="L"&amp;E265,F265&gt;=1,F265&lt;=13,G265=""),"OK","CHECK"),IF(B265="Cavity",IF(AND(C265="L"&amp;E265&amp;"-S"&amp;TEXT(F265,"00"),F265&gt;=1,F265&lt;=13,G265&gt;=1,G265&lt;=3),"OK","CHECK"),"CHECK")))</x:f>
        <x:v>OK</x:v>
      </x:c>
    </x:row>
    <x:row r="266">
      <x:c r="A266" s="13" t="str">
        <x:v>L25-S13</x:v>
      </x:c>
      <x:c r="B266" s="13" t="str">
        <x:v>Section</x:v>
      </x:c>
      <x:c r="C266" s="13" t="str">
        <x:v>L25</x:v>
      </x:c>
      <x:c r="D266" s="13" t="str">
        <x:v>KG01</x:v>
      </x:c>
      <x:c r="E266" s="13" t="n">
        <x:v>25</x:v>
      </x:c>
      <x:c r="F266" s="13" t="n">
        <x:v>13</x:v>
      </x:c>
      <x:c r="G266" s="13"/>
      <x:c r="H266" s="13" t="str">
        <x:v>Line 25 / Section 13</x:v>
      </x:c>
      <x:c r="I266" s="13" t="n">
        <x:v>1</x:v>
      </x:c>
      <x:c r="J266" s="18" t="str">
        <x:f>IF(B266="Line",IF(AND(C266="",F266="",G266=""),"OK","CHECK"),IF(B266="Section",IF(AND(C266="L"&amp;E266,F266&gt;=1,F266&lt;=13,G266=""),"OK","CHECK"),IF(B266="Cavity",IF(AND(C266="L"&amp;E266&amp;"-S"&amp;TEXT(F266,"00"),F266&gt;=1,F266&lt;=13,G266&gt;=1,G266&lt;=3),"OK","CHECK"),"CHECK")))</x:f>
        <x:v>OK</x:v>
      </x:c>
    </x:row>
    <x:row r="267">
      <x:c r="A267" s="13" t="str">
        <x:v>L25-S13-C1</x:v>
      </x:c>
      <x:c r="B267" s="13" t="str">
        <x:v>Cavity</x:v>
      </x:c>
      <x:c r="C267" s="13" t="str">
        <x:v>L25-S13</x:v>
      </x:c>
      <x:c r="D267" s="13" t="str">
        <x:v>KG01</x:v>
      </x:c>
      <x:c r="E267" s="13" t="n">
        <x:v>25</x:v>
      </x:c>
      <x:c r="F267" s="13" t="n">
        <x:v>13</x:v>
      </x:c>
      <x:c r="G267" s="13" t="n">
        <x:v>1</x:v>
      </x:c>
      <x:c r="H267" s="13" t="str">
        <x:v>Line 25 / Section 13 / Cavity 1</x:v>
      </x:c>
      <x:c r="I267" s="13" t="n">
        <x:v>1</x:v>
      </x:c>
      <x:c r="J267" s="18" t="str">
        <x:f>IF(B267="Line",IF(AND(C267="",F267="",G267=""),"OK","CHECK"),IF(B267="Section",IF(AND(C267="L"&amp;E267,F267&gt;=1,F267&lt;=13,G267=""),"OK","CHECK"),IF(B267="Cavity",IF(AND(C267="L"&amp;E267&amp;"-S"&amp;TEXT(F267,"00"),F267&gt;=1,F267&lt;=13,G267&gt;=1,G267&lt;=3),"OK","CHECK"),"CHECK")))</x:f>
        <x:v>OK</x:v>
      </x:c>
    </x:row>
    <x:row r="268">
      <x:c r="A268" s="13" t="str">
        <x:v>L25-S13-C2</x:v>
      </x:c>
      <x:c r="B268" s="13" t="str">
        <x:v>Cavity</x:v>
      </x:c>
      <x:c r="C268" s="13" t="str">
        <x:v>L25-S13</x:v>
      </x:c>
      <x:c r="D268" s="13" t="str">
        <x:v>KG01</x:v>
      </x:c>
      <x:c r="E268" s="13" t="n">
        <x:v>25</x:v>
      </x:c>
      <x:c r="F268" s="13" t="n">
        <x:v>13</x:v>
      </x:c>
      <x:c r="G268" s="13" t="n">
        <x:v>2</x:v>
      </x:c>
      <x:c r="H268" s="13" t="str">
        <x:v>Line 25 / Section 13 / Cavity 2</x:v>
      </x:c>
      <x:c r="I268" s="13" t="n">
        <x:v>1</x:v>
      </x:c>
      <x:c r="J268" s="18" t="str">
        <x:f>IF(B268="Line",IF(AND(C268="",F268="",G268=""),"OK","CHECK"),IF(B268="Section",IF(AND(C268="L"&amp;E268,F268&gt;=1,F268&lt;=13,G268=""),"OK","CHECK"),IF(B268="Cavity",IF(AND(C268="L"&amp;E268&amp;"-S"&amp;TEXT(F268,"00"),F268&gt;=1,F268&lt;=13,G268&gt;=1,G268&lt;=3),"OK","CHECK"),"CHECK")))</x:f>
        <x:v>OK</x:v>
      </x:c>
    </x:row>
    <x:row r="269">
      <x:c r="A269" s="13" t="str">
        <x:v>L25-S13-C3</x:v>
      </x:c>
      <x:c r="B269" s="13" t="str">
        <x:v>Cavity</x:v>
      </x:c>
      <x:c r="C269" s="13" t="str">
        <x:v>L25-S13</x:v>
      </x:c>
      <x:c r="D269" s="13" t="str">
        <x:v>KG01</x:v>
      </x:c>
      <x:c r="E269" s="13" t="n">
        <x:v>25</x:v>
      </x:c>
      <x:c r="F269" s="13" t="n">
        <x:v>13</x:v>
      </x:c>
      <x:c r="G269" s="13" t="n">
        <x:v>3</x:v>
      </x:c>
      <x:c r="H269" s="13" t="str">
        <x:v>Line 25 / Section 13 / Cavity 3</x:v>
      </x:c>
      <x:c r="I269" s="13" t="n">
        <x:v>1</x:v>
      </x:c>
      <x:c r="J269" s="18" t="str">
        <x:f>IF(B269="Line",IF(AND(C269="",F269="",G269=""),"OK","CHECK"),IF(B269="Section",IF(AND(C269="L"&amp;E269,F269&gt;=1,F269&lt;=13,G269=""),"OK","CHECK"),IF(B269="Cavity",IF(AND(C269="L"&amp;E269&amp;"-S"&amp;TEXT(F269,"00"),F269&gt;=1,F269&lt;=13,G269&gt;=1,G269&lt;=3),"OK","CHECK"),"CHECK")))</x:f>
        <x:v>OK</x:v>
      </x:c>
    </x:row>
  </x:sheetData>
  <x:conditionalFormatting sqref="J5:J269">
    <x:cfRule type="expression" dxfId="1" priority="1">
      <x:formula>J5="OK"</x:formula>
    </x:cfRule>
  </x:conditionalFormatting>
  <x:dataValidations count="3">
    <x:dataValidation type="list" sqref="B5:B269">
      <x:formula1>"Line,Section,Cavity"</x:formula1>
    </x:dataValidation>
    <x:dataValidation type="list" sqref="E5:E269">
      <x:formula1>"21,22,23,24,25"</x:formula1>
    </x:dataValidation>
    <x:dataValidation type="list" sqref="I5:I269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78de601c4d49cf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94" hidden="0" customWidth="1"/>
    <x:col min="2" max="2" width="10" hidden="0" customWidth="1"/>
    <x:col min="3" max="3" width="9.880000114440918" hidden="0" customWidth="1"/>
    <x:col min="4" max="4" width="12.5" hidden="0" customWidth="1"/>
    <x:col min="5" max="5" width="9.25" hidden="0" customWidth="1"/>
    <x:col min="6" max="6" width="18.5" hidden="0" customWidth="1"/>
    <x:col min="7" max="7" width="21.3799991607666" hidden="0" customWidth="1"/>
    <x:col min="8" max="8" width="18" hidden="0" customWidth="1"/>
    <x:col min="9" max="9" width="13" hidden="0" customWidth="1"/>
    <x:col min="10" max="10" width="17.8799991607666" hidden="0" customWidth="1"/>
    <x:col min="11" max="11" width="12.630000114440918" hidden="0" customWidth="1"/>
    <x:col min="12" max="12" width="35" hidden="0" customWidth="1"/>
  </x:cols>
  <x:sheetData>
    <x:row r="1">
      <x:c r="A1" s="12" t="str">
        <x:v>Master Data — Product / Line Standard Setup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>
      <x:c r="A2" s="13" t="str">
        <x:v>Defines the approved product subset by line and its baseline active configuration. Exact active positions remain event-specific.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A3" s="13" t="str">
        <x:v>Historical 4-cavity source rows were normalized to the physical max of 3 while preserving designed cuts/hour.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>
      <x:c r="A4" s="8" t="str">
        <x:v>ProductLineSetupID</x:v>
      </x:c>
      <x:c r="B4" s="8" t="str">
        <x:v>FactoryCode</x:v>
      </x:c>
      <x:c r="C4" s="8" t="str">
        <x:v>LineNumber</x:v>
      </x:c>
      <x:c r="D4" s="8" t="str">
        <x:v>ProductCode</x:v>
      </x:c>
      <x:c r="E4" s="8" t="str">
        <x:v>IsApproved</x:v>
      </x:c>
      <x:c r="F4" s="8" t="str">
        <x:v>StandardActiveSections</x:v>
      </x:c>
      <x:c r="G4" s="8" t="str">
        <x:v>StandardCavitiesPerSection</x:v>
      </x:c>
      <x:c r="H4" s="8" t="str">
        <x:v>StandardActiveCavities</x:v>
      </x:c>
      <x:c r="I4" s="8" t="str">
        <x:v>PhysicalSections</x:v>
      </x:c>
      <x:c r="J4" s="8" t="str">
        <x:v>MaxCavitiesPerSection</x:v>
      </x:c>
      <x:c r="K4" s="8" t="str">
        <x:v>CapabilityCheck</x:v>
      </x:c>
      <x:c r="L4" s="8" t="str">
        <x:v>Notes</x:v>
      </x:c>
    </x:row>
    <x:row r="5">
      <x:c r="A5" s="13" t="str">
        <x:v>PLS0001</x:v>
      </x:c>
      <x:c r="B5" s="13" t="str">
        <x:v>KG01</x:v>
      </x:c>
      <x:c r="C5" s="13" t="n">
        <x:v>21</x:v>
      </x:c>
      <x:c r="D5" s="13" t="str">
        <x:v>PRD-JAR-330</x:v>
      </x:c>
      <x:c r="E5" s="16" t="n">
        <x:v>1</x:v>
      </x:c>
      <x:c r="F5" s="16" t="n">
        <x:v>10</x:v>
      </x:c>
      <x:c r="G5" s="16" t="n">
        <x:v>3</x:v>
      </x:c>
      <x:c r="H5" s="18" t="n">
        <x:f>F5*G5</x:f>
        <x:v>30</x:v>
      </x:c>
      <x:c r="I5" s="13" t="n">
        <x:v>13</x:v>
      </x:c>
      <x:c r="J5" s="13" t="n">
        <x:v>3</x:v>
      </x:c>
      <x:c r="K5" s="18" t="str">
        <x:f>IF(AND(E5=1,F5&gt;=1,F5&lt;=I5,G5&gt;=1,G5&lt;=J5,H5&lt;=I5*J5),"OK","CHECK")</x:f>
        <x:v>OK</x:v>
      </x:c>
      <x:c r="L5" s="13" t="str">
        <x:v>Baseline derived from current production data</x:v>
      </x:c>
    </x:row>
    <x:row r="6">
      <x:c r="A6" s="13" t="str">
        <x:v>PLS0002</x:v>
      </x:c>
      <x:c r="B6" s="13" t="str">
        <x:v>KG01</x:v>
      </x:c>
      <x:c r="C6" s="13" t="n">
        <x:v>21</x:v>
      </x:c>
      <x:c r="D6" s="13" t="str">
        <x:v>PRD-JAR-720</x:v>
      </x:c>
      <x:c r="E6" s="16" t="n">
        <x:v>1</x:v>
      </x:c>
      <x:c r="F6" s="16" t="n">
        <x:v>10</x:v>
      </x:c>
      <x:c r="G6" s="16" t="n">
        <x:v>2</x:v>
      </x:c>
      <x:c r="H6" s="18" t="n">
        <x:f>F6*G6</x:f>
        <x:v>20</x:v>
      </x:c>
      <x:c r="I6" s="13" t="n">
        <x:v>13</x:v>
      </x:c>
      <x:c r="J6" s="13" t="n">
        <x:v>3</x:v>
      </x:c>
      <x:c r="K6" s="18" t="str">
        <x:f>IF(AND(E6=1,F6&gt;=1,F6&lt;=I6,G6&gt;=1,G6&lt;=J6,H6&lt;=I6*J6),"OK","CHECK")</x:f>
        <x:v>OK</x:v>
      </x:c>
      <x:c r="L6" s="13" t="str">
        <x:v>Baseline derived from current production data</x:v>
      </x:c>
    </x:row>
    <x:row r="7">
      <x:c r="A7" s="13" t="str">
        <x:v>PLS0003</x:v>
      </x:c>
      <x:c r="B7" s="13" t="str">
        <x:v>KG01</x:v>
      </x:c>
      <x:c r="C7" s="13" t="n">
        <x:v>22</x:v>
      </x:c>
      <x:c r="D7" s="13" t="str">
        <x:v>PRD-BOT-500</x:v>
      </x:c>
      <x:c r="E7" s="16" t="n">
        <x:v>1</x:v>
      </x:c>
      <x:c r="F7" s="16" t="n">
        <x:v>10</x:v>
      </x:c>
      <x:c r="G7" s="16" t="n">
        <x:v>3</x:v>
      </x:c>
      <x:c r="H7" s="18" t="n">
        <x:f>F7*G7</x:f>
        <x:v>30</x:v>
      </x:c>
      <x:c r="I7" s="13" t="n">
        <x:v>13</x:v>
      </x:c>
      <x:c r="J7" s="13" t="n">
        <x:v>3</x:v>
      </x:c>
      <x:c r="K7" s="18" t="str">
        <x:f>IF(AND(E7=1,F7&gt;=1,F7&lt;=I7,G7&gt;=1,G7&lt;=J7,H7&lt;=I7*J7),"OK","CHECK")</x:f>
        <x:v>OK</x:v>
      </x:c>
      <x:c r="L7" s="13" t="str">
        <x:v>Baseline derived from current production data</x:v>
      </x:c>
    </x:row>
    <x:row r="8">
      <x:c r="A8" s="13" t="str">
        <x:v>PLS0004</x:v>
      </x:c>
      <x:c r="B8" s="13" t="str">
        <x:v>KG01</x:v>
      </x:c>
      <x:c r="C8" s="13" t="n">
        <x:v>22</x:v>
      </x:c>
      <x:c r="D8" s="13" t="str">
        <x:v>PRD-JAR-720</x:v>
      </x:c>
      <x:c r="E8" s="16" t="n">
        <x:v>1</x:v>
      </x:c>
      <x:c r="F8" s="16" t="n">
        <x:v>10</x:v>
      </x:c>
      <x:c r="G8" s="16" t="n">
        <x:v>2</x:v>
      </x:c>
      <x:c r="H8" s="18" t="n">
        <x:f>F8*G8</x:f>
        <x:v>20</x:v>
      </x:c>
      <x:c r="I8" s="13" t="n">
        <x:v>13</x:v>
      </x:c>
      <x:c r="J8" s="13" t="n">
        <x:v>3</x:v>
      </x:c>
      <x:c r="K8" s="18" t="str">
        <x:f>IF(AND(E8=1,F8&gt;=1,F8&lt;=I8,G8&gt;=1,G8&lt;=J8,H8&lt;=I8*J8),"OK","CHECK")</x:f>
        <x:v>OK</x:v>
      </x:c>
      <x:c r="L8" s="13" t="str">
        <x:v>Baseline derived from current production data</x:v>
      </x:c>
    </x:row>
    <x:row r="9">
      <x:c r="A9" s="13" t="str">
        <x:v>PLS0005</x:v>
      </x:c>
      <x:c r="B9" s="13" t="str">
        <x:v>KG01</x:v>
      </x:c>
      <x:c r="C9" s="13" t="n">
        <x:v>23</x:v>
      </x:c>
      <x:c r="D9" s="13" t="str">
        <x:v>PRD-JAR-330</x:v>
      </x:c>
      <x:c r="E9" s="16" t="n">
        <x:v>1</x:v>
      </x:c>
      <x:c r="F9" s="16" t="n">
        <x:v>12</x:v>
      </x:c>
      <x:c r="G9" s="16" t="n">
        <x:v>3</x:v>
      </x:c>
      <x:c r="H9" s="18" t="n">
        <x:f>F9*G9</x:f>
        <x:v>36</x:v>
      </x:c>
      <x:c r="I9" s="13" t="n">
        <x:v>13</x:v>
      </x:c>
      <x:c r="J9" s="13" t="n">
        <x:v>3</x:v>
      </x:c>
      <x:c r="K9" s="18" t="str">
        <x:f>IF(AND(E9=1,F9&gt;=1,F9&lt;=I9,G9&gt;=1,G9&lt;=J9,H9&lt;=I9*J9),"OK","CHECK")</x:f>
        <x:v>OK</x:v>
      </x:c>
      <x:c r="L9" s="13" t="str">
        <x:v>Baseline derived from current production data</x:v>
      </x:c>
    </x:row>
    <x:row r="10">
      <x:c r="A10" s="13" t="str">
        <x:v>PLS0006</x:v>
      </x:c>
      <x:c r="B10" s="13" t="str">
        <x:v>KG01</x:v>
      </x:c>
      <x:c r="C10" s="13" t="n">
        <x:v>23</x:v>
      </x:c>
      <x:c r="D10" s="13" t="str">
        <x:v>PRD-JAR-720</x:v>
      </x:c>
      <x:c r="E10" s="16" t="n">
        <x:v>1</x:v>
      </x:c>
      <x:c r="F10" s="16" t="n">
        <x:v>12</x:v>
      </x:c>
      <x:c r="G10" s="16" t="n">
        <x:v>2</x:v>
      </x:c>
      <x:c r="H10" s="18" t="n">
        <x:f>F10*G10</x:f>
        <x:v>24</x:v>
      </x:c>
      <x:c r="I10" s="13" t="n">
        <x:v>13</x:v>
      </x:c>
      <x:c r="J10" s="13" t="n">
        <x:v>3</x:v>
      </x:c>
      <x:c r="K10" s="18" t="str">
        <x:f>IF(AND(E10=1,F10&gt;=1,F10&lt;=I10,G10&gt;=1,G10&lt;=J10,H10&lt;=I10*J10),"OK","CHECK")</x:f>
        <x:v>OK</x:v>
      </x:c>
      <x:c r="L10" s="13" t="str">
        <x:v>Baseline derived from current production data</x:v>
      </x:c>
    </x:row>
    <x:row r="11">
      <x:c r="A11" s="13" t="str">
        <x:v>PLS0007</x:v>
      </x:c>
      <x:c r="B11" s="13" t="str">
        <x:v>KG01</x:v>
      </x:c>
      <x:c r="C11" s="13" t="n">
        <x:v>24</x:v>
      </x:c>
      <x:c r="D11" s="13" t="str">
        <x:v>PRD-BOT-500</x:v>
      </x:c>
      <x:c r="E11" s="16" t="n">
        <x:v>1</x:v>
      </x:c>
      <x:c r="F11" s="16" t="n">
        <x:v>12</x:v>
      </x:c>
      <x:c r="G11" s="16" t="n">
        <x:v>3</x:v>
      </x:c>
      <x:c r="H11" s="18" t="n">
        <x:f>F11*G11</x:f>
        <x:v>36</x:v>
      </x:c>
      <x:c r="I11" s="13" t="n">
        <x:v>13</x:v>
      </x:c>
      <x:c r="J11" s="13" t="n">
        <x:v>3</x:v>
      </x:c>
      <x:c r="K11" s="18" t="str">
        <x:f>IF(AND(E11=1,F11&gt;=1,F11&lt;=I11,G11&gt;=1,G11&lt;=J11,H11&lt;=I11*J11),"OK","CHECK")</x:f>
        <x:v>OK</x:v>
      </x:c>
      <x:c r="L11" s="13" t="str">
        <x:v>Baseline derived from current production data</x:v>
      </x:c>
    </x:row>
    <x:row r="12">
      <x:c r="A12" s="13" t="str">
        <x:v>PLS0008</x:v>
      </x:c>
      <x:c r="B12" s="13" t="str">
        <x:v>KG01</x:v>
      </x:c>
      <x:c r="C12" s="13" t="n">
        <x:v>24</x:v>
      </x:c>
      <x:c r="D12" s="13" t="str">
        <x:v>PRD-JAR-330</x:v>
      </x:c>
      <x:c r="E12" s="16" t="n">
        <x:v>1</x:v>
      </x:c>
      <x:c r="F12" s="16" t="n">
        <x:v>12</x:v>
      </x:c>
      <x:c r="G12" s="16" t="n">
        <x:v>3</x:v>
      </x:c>
      <x:c r="H12" s="18" t="n">
        <x:f>F12*G12</x:f>
        <x:v>36</x:v>
      </x:c>
      <x:c r="I12" s="13" t="n">
        <x:v>13</x:v>
      </x:c>
      <x:c r="J12" s="13" t="n">
        <x:v>3</x:v>
      </x:c>
      <x:c r="K12" s="18" t="str">
        <x:f>IF(AND(E12=1,F12&gt;=1,F12&lt;=I12,G12&gt;=1,G12&lt;=J12,H12&lt;=I12*J12),"OK","CHECK")</x:f>
        <x:v>OK</x:v>
      </x:c>
      <x:c r="L12" s="13" t="str">
        <x:v>Baseline derived from current production data</x:v>
      </x:c>
    </x:row>
    <x:row r="13">
      <x:c r="A13" s="13" t="str">
        <x:v>PLS0009</x:v>
      </x:c>
      <x:c r="B13" s="13" t="str">
        <x:v>KG01</x:v>
      </x:c>
      <x:c r="C13" s="13" t="n">
        <x:v>24</x:v>
      </x:c>
      <x:c r="D13" s="13" t="str">
        <x:v>PRD-JAR-720</x:v>
      </x:c>
      <x:c r="E13" s="16" t="n">
        <x:v>1</x:v>
      </x:c>
      <x:c r="F13" s="16" t="n">
        <x:v>12</x:v>
      </x:c>
      <x:c r="G13" s="16" t="n">
        <x:v>2</x:v>
      </x:c>
      <x:c r="H13" s="18" t="n">
        <x:f>F13*G13</x:f>
        <x:v>24</x:v>
      </x:c>
      <x:c r="I13" s="13" t="n">
        <x:v>13</x:v>
      </x:c>
      <x:c r="J13" s="13" t="n">
        <x:v>3</x:v>
      </x:c>
      <x:c r="K13" s="18" t="str">
        <x:f>IF(AND(E13=1,F13&gt;=1,F13&lt;=I13,G13&gt;=1,G13&lt;=J13,H13&lt;=I13*J13),"OK","CHECK")</x:f>
        <x:v>OK</x:v>
      </x:c>
      <x:c r="L13" s="13" t="str">
        <x:v>Baseline derived from current production data</x:v>
      </x:c>
    </x:row>
    <x:row r="14">
      <x:c r="A14" s="13" t="str">
        <x:v>PLS0010</x:v>
      </x:c>
      <x:c r="B14" s="13" t="str">
        <x:v>KG01</x:v>
      </x:c>
      <x:c r="C14" s="13" t="n">
        <x:v>25</x:v>
      </x:c>
      <x:c r="D14" s="13" t="str">
        <x:v>PRD-JAR-330</x:v>
      </x:c>
      <x:c r="E14" s="16" t="n">
        <x:v>1</x:v>
      </x:c>
      <x:c r="F14" s="16" t="n">
        <x:v>8</x:v>
      </x:c>
      <x:c r="G14" s="16" t="n">
        <x:v>3</x:v>
      </x:c>
      <x:c r="H14" s="18" t="n">
        <x:f>F14*G14</x:f>
        <x:v>24</x:v>
      </x:c>
      <x:c r="I14" s="13" t="n">
        <x:v>13</x:v>
      </x:c>
      <x:c r="J14" s="13" t="n">
        <x:v>3</x:v>
      </x:c>
      <x:c r="K14" s="18" t="str">
        <x:f>IF(AND(E14=1,F14&gt;=1,F14&lt;=I14,G14&gt;=1,G14&lt;=J14,H14&lt;=I14*J14),"OK","CHECK")</x:f>
        <x:v>OK</x:v>
      </x:c>
      <x:c r="L14" s="13" t="str">
        <x:v>Baseline derived from current production data</x:v>
      </x:c>
    </x:row>
    <x:row r="15">
      <x:c r="A15" s="13" t="str">
        <x:v>PLS0011</x:v>
      </x:c>
      <x:c r="B15" s="13" t="str">
        <x:v>KG01</x:v>
      </x:c>
      <x:c r="C15" s="13" t="n">
        <x:v>25</x:v>
      </x:c>
      <x:c r="D15" s="13" t="str">
        <x:v>PRD-JAR-720</x:v>
      </x:c>
      <x:c r="E15" s="16" t="n">
        <x:v>1</x:v>
      </x:c>
      <x:c r="F15" s="16" t="n">
        <x:v>8</x:v>
      </x:c>
      <x:c r="G15" s="16" t="n">
        <x:v>2</x:v>
      </x:c>
      <x:c r="H15" s="18" t="n">
        <x:f>F15*G15</x:f>
        <x:v>16</x:v>
      </x:c>
      <x:c r="I15" s="13" t="n">
        <x:v>13</x:v>
      </x:c>
      <x:c r="J15" s="13" t="n">
        <x:v>3</x:v>
      </x:c>
      <x:c r="K15" s="18" t="str">
        <x:f>IF(AND(E15=1,F15&gt;=1,F15&lt;=I15,G15&gt;=1,G15&lt;=J15,H15&lt;=I15*J15),"OK","CHECK")</x:f>
        <x:v>OK</x:v>
      </x:c>
      <x:c r="L15" s="13" t="str">
        <x:v>Baseline derived from current production data</x:v>
      </x:c>
    </x:row>
  </x:sheetData>
  <x:conditionalFormatting sqref="K5:K15">
    <x:cfRule type="expression" dxfId="2" priority="1">
      <x:formula>K5="OK"</x:formula>
    </x:cfRule>
  </x:conditionalFormatting>
  <x:dataValidations count="5">
    <x:dataValidation type="list" sqref="C5:C300">
      <x:formula1>"21,22,23,24,25"</x:formula1>
    </x:dataValidation>
    <x:dataValidation type="list" sqref="D5:D300">
      <x:formula1>"PRD-JAR-330,PRD-BOT-500,PRD-JAR-720"</x:formula1>
    </x:dataValidation>
    <x:dataValidation type="list" sqref="E5:E300">
      <x:formula1>"0,1"</x:formula1>
    </x:dataValidation>
    <x:dataValidation operator="between" sqref="F5:F300">
      <x:formula1>1</x:formula1>
      <x:formula2>13</x:formula2>
    </x:dataValidation>
    <x:dataValidation operator="between" sqref="G5:G300">
      <x:formula1>1</x:formula1>
      <x:formula2>3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02775d5b5de4e85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56.75" hidden="0" customWidth="1"/>
    <x:col min="2" max="2" width="10" hidden="0" customWidth="1"/>
    <x:col min="3" max="3" width="23.3799991607666" hidden="0" customWidth="1"/>
    <x:col min="4" max="4" width="27.1299991607666" hidden="0" customWidth="1"/>
    <x:col min="5" max="5" width="13" hidden="0" customWidth="1"/>
  </x:cols>
  <x:sheetData>
    <x:row r="1">
      <x:c r="A1" s="12" t="str">
        <x:v>Master Data — Job Change Impact Reasons</x:v>
      </x:c>
      <x:c r="B1" s="12"/>
      <x:c r="C1" s="12"/>
      <x:c r="D1" s="12"/>
      <x:c r="E1" s="12"/>
    </x:row>
    <x:row r="2">
      <x:c r="A2" s="13" t="str">
        <x:v>Supports one detailed loss component per JobChangeImpact row.</x:v>
      </x:c>
      <x:c r="B2" s="13"/>
      <x:c r="C2" s="13"/>
      <x:c r="D2" s="13"/>
      <x:c r="E2" s="13"/>
    </x:row>
    <x:row r="3">
      <x:c r="A3" s="13" t="str">
        <x:v>ReasonAreaKey is used for workbook validation and ETL consistency checks.</x:v>
      </x:c>
      <x:c r="B3" s="13"/>
      <x:c r="C3" s="13"/>
      <x:c r="D3" s="13"/>
      <x:c r="E3" s="13"/>
    </x:row>
    <x:row r="4">
      <x:c r="A4" s="8" t="str">
        <x:v>LossArea</x:v>
      </x:c>
      <x:c r="B4" s="8" t="str">
        <x:v>ReasonCode</x:v>
      </x:c>
      <x:c r="C4" s="8" t="str">
        <x:v>ReasonName</x:v>
      </x:c>
      <x:c r="D4" s="8" t="str">
        <x:v>ReasonAreaKey</x:v>
      </x:c>
      <x:c r="E4" s="8" t="str">
        <x:v>ReasonRequired</x:v>
      </x:c>
    </x:row>
    <x:row r="5">
      <x:c r="A5" s="13" t="str">
        <x:v>T1</x:v>
      </x:c>
      <x:c r="B5" s="13" t="str">
        <x:v>T1-MECH</x:v>
      </x:c>
      <x:c r="C5" s="13" t="str">
        <x:v>Mechanical Work</x:v>
      </x:c>
      <x:c r="D5" s="18" t="str">
        <x:f>A5&amp;"|"&amp;C5</x:f>
        <x:v>T1|Mechanical Work</x:v>
      </x:c>
      <x:c r="E5" s="13" t="n">
        <x:v>1</x:v>
      </x:c>
    </x:row>
    <x:row r="6">
      <x:c r="A6" s="13" t="str">
        <x:v>T2</x:v>
      </x:c>
      <x:c r="B6" s="13" t="str">
        <x:v>T2-FORM</x:v>
      </x:c>
      <x:c r="C6" s="13" t="str">
        <x:v>Forming Setup</x:v>
      </x:c>
      <x:c r="D6" s="18" t="str">
        <x:f>A6&amp;"|"&amp;C6</x:f>
        <x:v>T2|Forming Setup</x:v>
      </x:c>
      <x:c r="E6" s="13" t="n">
        <x:v>1</x:v>
      </x:c>
    </x:row>
    <x:row r="7">
      <x:c r="A7" s="13" t="str">
        <x:v>Trial</x:v>
      </x:c>
      <x:c r="B7" s="13" t="str">
        <x:v>TRIAL-RUN</x:v>
      </x:c>
      <x:c r="C7" s="13" t="str">
        <x:v>Trial Production</x:v>
      </x:c>
      <x:c r="D7" s="18" t="str">
        <x:f>A7&amp;"|"&amp;C7</x:f>
        <x:v>Trial|Trial Production</x:v>
      </x:c>
      <x:c r="E7" s="13" t="n">
        <x:v>1</x:v>
      </x:c>
    </x:row>
    <x:row r="8">
      <x:c r="A8" s="13" t="str">
        <x:v>HE</x:v>
      </x:c>
      <x:c r="B8" s="13" t="str">
        <x:v>HE-001</x:v>
      </x:c>
      <x:c r="C8" s="13" t="str">
        <x:v>Feeder Temperature Instability</x:v>
      </x:c>
      <x:c r="D8" s="18" t="str">
        <x:f>A8&amp;"|"&amp;C8</x:f>
        <x:v>HE|Feeder Temperature Instability</x:v>
      </x:c>
      <x:c r="E8" s="13" t="n">
        <x:v>1</x:v>
      </x:c>
    </x:row>
    <x:row r="9">
      <x:c r="A9" s="13" t="str">
        <x:v>HE</x:v>
      </x:c>
      <x:c r="B9" s="13" t="str">
        <x:v>HE-002</x:v>
      </x:c>
      <x:c r="C9" s="13" t="str">
        <x:v>Gob Weight Adjustment</x:v>
      </x:c>
      <x:c r="D9" s="18" t="str">
        <x:f>A9&amp;"|"&amp;C9</x:f>
        <x:v>HE|Gob Weight Adjustment</x:v>
      </x:c>
      <x:c r="E9" s="13" t="n">
        <x:v>1</x:v>
      </x:c>
    </x:row>
    <x:row r="10">
      <x:c r="A10" s="13" t="str">
        <x:v>HE</x:v>
      </x:c>
      <x:c r="B10" s="13" t="str">
        <x:v>HE-003</x:v>
      </x:c>
      <x:c r="C10" s="13" t="str">
        <x:v>Shear Mechanism Fault</x:v>
      </x:c>
      <x:c r="D10" s="18" t="str">
        <x:f>A10&amp;"|"&amp;C10</x:f>
        <x:v>HE|Shear Mechanism Fault</x:v>
      </x:c>
      <x:c r="E10" s="13" t="n">
        <x:v>1</x:v>
      </x:c>
    </x:row>
    <x:row r="11">
      <x:c r="A11" s="13" t="str">
        <x:v>HE</x:v>
      </x:c>
      <x:c r="B11" s="13" t="str">
        <x:v>HE-004</x:v>
      </x:c>
      <x:c r="C11" s="13" t="str">
        <x:v>Gob Distributor Jam</x:v>
      </x:c>
      <x:c r="D11" s="18" t="str">
        <x:f>A11&amp;"|"&amp;C11</x:f>
        <x:v>HE|Gob Distributor Jam</x:v>
      </x:c>
      <x:c r="E11" s="13" t="n">
        <x:v>1</x:v>
      </x:c>
    </x:row>
    <x:row r="12">
      <x:c r="A12" s="13" t="str">
        <x:v>HE</x:v>
      </x:c>
      <x:c r="B12" s="13" t="str">
        <x:v>HE-005</x:v>
      </x:c>
      <x:c r="C12" s="13" t="str">
        <x:v>Mould Cooling Issue</x:v>
      </x:c>
      <x:c r="D12" s="18" t="str">
        <x:f>A12&amp;"|"&amp;C12</x:f>
        <x:v>HE|Mould Cooling Issue</x:v>
      </x:c>
      <x:c r="E12" s="13" t="n">
        <x:v>1</x:v>
      </x:c>
    </x:row>
    <x:row r="13">
      <x:c r="A13" s="13" t="str">
        <x:v>HE</x:v>
      </x:c>
      <x:c r="B13" s="13" t="str">
        <x:v>HE-006</x:v>
      </x:c>
      <x:c r="C13" s="13" t="str">
        <x:v>Swabbing / Lubrication</x:v>
      </x:c>
      <x:c r="D13" s="18" t="str">
        <x:f>A13&amp;"|"&amp;C13</x:f>
        <x:v>HE|Swabbing / Lubrication</x:v>
      </x:c>
      <x:c r="E13" s="13" t="n">
        <x:v>1</x:v>
      </x:c>
    </x:row>
    <x:row r="14">
      <x:c r="A14" s="13" t="str">
        <x:v>HE</x:v>
      </x:c>
      <x:c r="B14" s="13" t="str">
        <x:v>HE-007</x:v>
      </x:c>
      <x:c r="C14" s="13" t="str">
        <x:v>Blank Mould Change</x:v>
      </x:c>
      <x:c r="D14" s="18" t="str">
        <x:f>A14&amp;"|"&amp;C14</x:f>
        <x:v>HE|Blank Mould Change</x:v>
      </x:c>
      <x:c r="E14" s="13" t="n">
        <x:v>1</x:v>
      </x:c>
    </x:row>
    <x:row r="15">
      <x:c r="A15" s="13" t="str">
        <x:v>HE</x:v>
      </x:c>
      <x:c r="B15" s="13" t="str">
        <x:v>HE-008</x:v>
      </x:c>
      <x:c r="C15" s="13" t="str">
        <x:v>Neck Ring Issue</x:v>
      </x:c>
      <x:c r="D15" s="18" t="str">
        <x:f>A15&amp;"|"&amp;C15</x:f>
        <x:v>HE|Neck Ring Issue</x:v>
      </x:c>
      <x:c r="E15" s="13" t="n">
        <x:v>1</x:v>
      </x:c>
    </x:row>
    <x:row r="16">
      <x:c r="A16" s="13" t="str">
        <x:v>HE</x:v>
      </x:c>
      <x:c r="B16" s="13" t="str">
        <x:v>HE-009</x:v>
      </x:c>
      <x:c r="C16" s="13" t="str">
        <x:v>Air Pressure Instability</x:v>
      </x:c>
      <x:c r="D16" s="18" t="str">
        <x:f>A16&amp;"|"&amp;C16</x:f>
        <x:v>HE|Air Pressure Instability</x:v>
      </x:c>
      <x:c r="E16" s="13" t="n">
        <x:v>1</x:v>
      </x:c>
    </x:row>
    <x:row r="17">
      <x:c r="A17" s="13" t="str">
        <x:v>CE</x:v>
      </x:c>
      <x:c r="B17" s="13" t="str">
        <x:v>CE-010</x:v>
      </x:c>
      <x:c r="C17" s="13" t="str">
        <x:v>Cross Conveyor Jam</x:v>
      </x:c>
      <x:c r="D17" s="18" t="str">
        <x:f>A17&amp;"|"&amp;C17</x:f>
        <x:v>CE|Cross Conveyor Jam</x:v>
      </x:c>
      <x:c r="E17" s="13" t="n">
        <x:v>1</x:v>
      </x:c>
    </x:row>
    <x:row r="18">
      <x:c r="A18" s="13" t="str">
        <x:v>CE</x:v>
      </x:c>
      <x:c r="B18" s="13" t="str">
        <x:v>CE-011</x:v>
      </x:c>
      <x:c r="C18" s="13" t="str">
        <x:v>Ware Transfer Misalignment</x:v>
      </x:c>
      <x:c r="D18" s="18" t="str">
        <x:f>A18&amp;"|"&amp;C18</x:f>
        <x:v>CE|Ware Transfer Misalignment</x:v>
      </x:c>
      <x:c r="E18" s="13" t="n">
        <x:v>1</x:v>
      </x:c>
    </x:row>
    <x:row r="19">
      <x:c r="A19" s="13" t="str">
        <x:v>CE</x:v>
      </x:c>
      <x:c r="B19" s="13" t="str">
        <x:v>CE-012</x:v>
      </x:c>
      <x:c r="C19" s="13" t="str">
        <x:v>Dead Plate Congestion</x:v>
      </x:c>
      <x:c r="D19" s="18" t="str">
        <x:f>A19&amp;"|"&amp;C19</x:f>
        <x:v>CE|Dead Plate Congestion</x:v>
      </x:c>
      <x:c r="E19" s="13" t="n">
        <x:v>1</x:v>
      </x:c>
    </x:row>
    <x:row r="20">
      <x:c r="A20" s="13" t="str">
        <x:v>CE</x:v>
      </x:c>
      <x:c r="B20" s="13" t="str">
        <x:v>CE-013</x:v>
      </x:c>
      <x:c r="C20" s="13" t="str">
        <x:v>Lehr Loader Delay</x:v>
      </x:c>
      <x:c r="D20" s="18" t="str">
        <x:f>A20&amp;"|"&amp;C20</x:f>
        <x:v>CE|Lehr Loader Delay</x:v>
      </x:c>
      <x:c r="E20" s="13" t="n">
        <x:v>1</x:v>
      </x:c>
    </x:row>
    <x:row r="21">
      <x:c r="A21" s="13" t="str">
        <x:v>CE</x:v>
      </x:c>
      <x:c r="B21" s="13" t="str">
        <x:v>CE-014</x:v>
      </x:c>
      <x:c r="C21" s="13" t="str">
        <x:v>Conveyor Speed Mismatch</x:v>
      </x:c>
      <x:c r="D21" s="18" t="str">
        <x:f>A21&amp;"|"&amp;C21</x:f>
        <x:v>CE|Conveyor Speed Mismatch</x:v>
      </x:c>
      <x:c r="E21" s="13" t="n">
        <x:v>1</x:v>
      </x:c>
    </x:row>
    <x:row r="22">
      <x:c r="A22" s="13" t="str">
        <x:v>CE</x:v>
      </x:c>
      <x:c r="B22" s="13" t="str">
        <x:v>CE-015</x:v>
      </x:c>
      <x:c r="C22" s="13" t="str">
        <x:v>Bottle Fall / Tip</x:v>
      </x:c>
      <x:c r="D22" s="18" t="str">
        <x:f>A22&amp;"|"&amp;C22</x:f>
        <x:v>CE|Bottle Fall / Tip</x:v>
      </x:c>
      <x:c r="E22" s="13" t="n">
        <x:v>1</x:v>
      </x:c>
    </x:row>
    <x:row r="23">
      <x:c r="A23" s="13" t="str">
        <x:v>CE</x:v>
      </x:c>
      <x:c r="B23" s="13" t="str">
        <x:v>CE-016</x:v>
      </x:c>
      <x:c r="C23" s="13" t="str">
        <x:v>Sensor Fault</x:v>
      </x:c>
      <x:c r="D23" s="18" t="str">
        <x:f>A23&amp;"|"&amp;C23</x:f>
        <x:v>CE|Sensor Fault</x:v>
      </x:c>
      <x:c r="E23" s="13" t="n">
        <x:v>1</x:v>
      </x:c>
    </x:row>
    <x:row r="24">
      <x:c r="A24" s="13" t="str">
        <x:v>CE</x:v>
      </x:c>
      <x:c r="B24" s="13" t="str">
        <x:v>CE-017</x:v>
      </x:c>
      <x:c r="C24" s="13" t="str">
        <x:v>Drive / Motor Fault</x:v>
      </x:c>
      <x:c r="D24" s="18" t="str">
        <x:f>A24&amp;"|"&amp;C24</x:f>
        <x:v>CE|Drive / Motor Fault</x:v>
      </x:c>
      <x:c r="E24" s="13" t="n">
        <x:v>1</x:v>
      </x:c>
    </x:row>
    <x:row r="25">
      <x:c r="A25" s="13" t="str">
        <x:v>CE</x:v>
      </x:c>
      <x:c r="B25" s="13" t="str">
        <x:v>CE-018</x:v>
      </x:c>
      <x:c r="C25" s="13" t="str">
        <x:v>Belt Tracking Issue</x:v>
      </x:c>
      <x:c r="D25" s="18" t="str">
        <x:f>A25&amp;"|"&amp;C25</x:f>
        <x:v>CE|Belt Tracking Issue</x:v>
      </x:c>
      <x:c r="E25" s="13" t="n">
        <x:v>1</x:v>
      </x:c>
    </x:row>
    <x:row r="26">
      <x:c r="A26" s="13" t="str">
        <x:v>Palletizer</x:v>
      </x:c>
      <x:c r="B26" s="13" t="str">
        <x:v>PAL-019</x:v>
      </x:c>
      <x:c r="C26" s="13" t="str">
        <x:v>Palletizer Robot Fault</x:v>
      </x:c>
      <x:c r="D26" s="18" t="str">
        <x:f>A26&amp;"|"&amp;C26</x:f>
        <x:v>Palletizer|Palletizer Robot Fault</x:v>
      </x:c>
      <x:c r="E26" s="13" t="n">
        <x:v>1</x:v>
      </x:c>
    </x:row>
    <x:row r="27">
      <x:c r="A27" s="13" t="str">
        <x:v>Palletizer</x:v>
      </x:c>
      <x:c r="B27" s="13" t="str">
        <x:v>PAL-020</x:v>
      </x:c>
      <x:c r="C27" s="13" t="str">
        <x:v>Layer Pattern Adjustment</x:v>
      </x:c>
      <x:c r="D27" s="18" t="str">
        <x:f>A27&amp;"|"&amp;C27</x:f>
        <x:v>Palletizer|Layer Pattern Adjustment</x:v>
      </x:c>
      <x:c r="E27" s="13" t="n">
        <x:v>1</x:v>
      </x:c>
    </x:row>
    <x:row r="28">
      <x:c r="A28" s="13" t="str">
        <x:v>Palletizer</x:v>
      </x:c>
      <x:c r="B28" s="13" t="str">
        <x:v>PAL-021</x:v>
      </x:c>
      <x:c r="C28" s="13" t="str">
        <x:v>Pallet Shortage</x:v>
      </x:c>
      <x:c r="D28" s="18" t="str">
        <x:f>A28&amp;"|"&amp;C28</x:f>
        <x:v>Palletizer|Pallet Shortage</x:v>
      </x:c>
      <x:c r="E28" s="13" t="n">
        <x:v>1</x:v>
      </x:c>
    </x:row>
    <x:row r="29">
      <x:c r="A29" s="13" t="str">
        <x:v>Palletizer</x:v>
      </x:c>
      <x:c r="B29" s="13" t="str">
        <x:v>PAL-022</x:v>
      </x:c>
      <x:c r="C29" s="13" t="str">
        <x:v>Separator Pad Shortage</x:v>
      </x:c>
      <x:c r="D29" s="18" t="str">
        <x:f>A29&amp;"|"&amp;C29</x:f>
        <x:v>Palletizer|Separator Pad Shortage</x:v>
      </x:c>
      <x:c r="E29" s="13" t="n">
        <x:v>1</x:v>
      </x:c>
    </x:row>
    <x:row r="30">
      <x:c r="A30" s="13" t="str">
        <x:v>Palletizer</x:v>
      </x:c>
      <x:c r="B30" s="13" t="str">
        <x:v>PAL-023</x:v>
      </x:c>
      <x:c r="C30" s="13" t="str">
        <x:v>Pallet Conveyor Jam</x:v>
      </x:c>
      <x:c r="D30" s="18" t="str">
        <x:f>A30&amp;"|"&amp;C30</x:f>
        <x:v>Palletizer|Pallet Conveyor Jam</x:v>
      </x:c>
      <x:c r="E30" s="13" t="n">
        <x:v>1</x:v>
      </x:c>
    </x:row>
    <x:row r="31">
      <x:c r="A31" s="13" t="str">
        <x:v>Palletizer</x:v>
      </x:c>
      <x:c r="B31" s="13" t="str">
        <x:v>PAL-024</x:v>
      </x:c>
      <x:c r="C31" s="13" t="str">
        <x:v>Film / Hood Fault</x:v>
      </x:c>
      <x:c r="D31" s="18" t="str">
        <x:f>A31&amp;"|"&amp;C31</x:f>
        <x:v>Palletizer|Film / Hood Fault</x:v>
      </x:c>
      <x:c r="E31" s="13" t="n">
        <x:v>1</x:v>
      </x:c>
    </x:row>
    <x:row r="32">
      <x:c r="A32" s="13" t="str">
        <x:v>Palletizer</x:v>
      </x:c>
      <x:c r="B32" s="13" t="str">
        <x:v>PAL-025</x:v>
      </x:c>
      <x:c r="C32" s="13" t="str">
        <x:v>Gripper / Vacuum Fault</x:v>
      </x:c>
      <x:c r="D32" s="18" t="str">
        <x:f>A32&amp;"|"&amp;C32</x:f>
        <x:v>Palletizer|Gripper / Vacuum Fault</x:v>
      </x:c>
      <x:c r="E32" s="13" t="n">
        <x:v>1</x:v>
      </x:c>
    </x:row>
    <x:row r="33">
      <x:c r="A33" s="13" t="str">
        <x:v>Palletizer</x:v>
      </x:c>
      <x:c r="B33" s="13" t="str">
        <x:v>PAL-026</x:v>
      </x:c>
      <x:c r="C33" s="13" t="str">
        <x:v>Sensor / Photoeye Fault</x:v>
      </x:c>
      <x:c r="D33" s="18" t="str">
        <x:f>A33&amp;"|"&amp;C33</x:f>
        <x:v>Palletizer|Sensor / Photoeye Fault</x:v>
      </x:c>
      <x:c r="E33" s="13" t="n">
        <x:v>1</x:v>
      </x:c>
    </x:row>
    <x:row r="34">
      <x:c r="A34" s="13" t="str">
        <x:v>Palletizer</x:v>
      </x:c>
      <x:c r="B34" s="13" t="str">
        <x:v>PAL-027</x:v>
      </x:c>
      <x:c r="C34" s="13" t="str">
        <x:v>Manual Intervention</x:v>
      </x:c>
      <x:c r="D34" s="18" t="str">
        <x:f>A34&amp;"|"&amp;C34</x:f>
        <x:v>Palletizer|Manual Intervention</x:v>
      </x:c>
      <x:c r="E34" s="1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671371b757045f1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49" hidden="0" customWidth="1"/>
    <x:col min="2" max="2" width="7.5" hidden="0" customWidth="1"/>
    <x:col min="3" max="3" width="5.380000114440918" hidden="0" customWidth="1"/>
    <x:col min="4" max="4" width="5.25" hidden="0" customWidth="1"/>
  </x:cols>
  <x:sheetData>
    <x:row r="1">
      <x:c r="A1" s="12" t="str">
        <x:v>MASTER DATA VALIDATION SUMMARY</x:v>
      </x:c>
      <x:c r="B1" s="12"/>
      <x:c r="C1" s="12"/>
      <x:c r="D1" s="12"/>
    </x:row>
    <x:row r="2">
      <x:c r="A2" s="13" t="str">
        <x:v>All checks should be OK before loading the enhanced warehouse.</x:v>
      </x:c>
      <x:c r="B2" s="13"/>
      <x:c r="C2" s="13"/>
      <x:c r="D2" s="13"/>
    </x:row>
    <x:row r="3">
      <x:c r="A3" s="13"/>
      <x:c r="B3" s="13"/>
      <x:c r="C3" s="13"/>
      <x:c r="D3" s="13"/>
    </x:row>
    <x:row r="4">
      <x:c r="A4" s="8" t="str">
        <x:v>Check</x:v>
      </x:c>
      <x:c r="B4" s="8" t="str">
        <x:v>Expected</x:v>
      </x:c>
      <x:c r="C4" s="8" t="str">
        <x:v>Actual</x:v>
      </x:c>
      <x:c r="D4" s="8" t="str">
        <x:v>Status</x:v>
      </x:c>
    </x:row>
    <x:row r="5">
      <x:c r="A5" s="13" t="str">
        <x:v>Machine rows</x:v>
      </x:c>
      <x:c r="B5" s="13" t="n">
        <x:v>5</x:v>
      </x:c>
      <x:c r="C5" s="13" t="n">
        <x:f>COUNTA(MachineCapability!B5:B9)</x:f>
        <x:v>5</x:v>
      </x:c>
      <x:c r="D5" s="13" t="str">
        <x:f>IF(B5=C5,"OK","CHECK")</x:f>
        <x:v>OK</x:v>
      </x:c>
    </x:row>
    <x:row r="6">
      <x:c r="A6" s="13" t="str">
        <x:v>Physical sections per line</x:v>
      </x:c>
      <x:c r="B6" s="13" t="n">
        <x:v>13</x:v>
      </x:c>
      <x:c r="C6" s="13" t="n">
        <x:f>MIN(MachineCapability!C5:C9)</x:f>
        <x:v>13</x:v>
      </x:c>
      <x:c r="D6" s="13" t="str">
        <x:f>IF(B6=C6,"OK","CHECK")</x:f>
        <x:v>OK</x:v>
      </x:c>
    </x:row>
    <x:row r="7">
      <x:c r="A7" s="13" t="str">
        <x:v>Max cavities per section</x:v>
      </x:c>
      <x:c r="B7" s="13" t="n">
        <x:v>3</x:v>
      </x:c>
      <x:c r="C7" s="13" t="n">
        <x:f>MIN(MachineCapability!D5:D9)</x:f>
        <x:v>3</x:v>
      </x:c>
      <x:c r="D7" s="13" t="str">
        <x:f>IF(B7=C7,"OK","CHECK")</x:f>
        <x:v>OK</x:v>
      </x:c>
    </x:row>
    <x:row r="8">
      <x:c r="A8" s="13" t="str">
        <x:v>Asset line nodes</x:v>
      </x:c>
      <x:c r="B8" s="13" t="n">
        <x:v>5</x:v>
      </x:c>
      <x:c r="C8" s="13" t="n">
        <x:f>COUNTIF(AssetScope!B:B,"Line")</x:f>
        <x:v>5</x:v>
      </x:c>
      <x:c r="D8" s="13" t="str">
        <x:f>IF(B8=C8,"OK","CHECK")</x:f>
        <x:v>OK</x:v>
      </x:c>
    </x:row>
    <x:row r="9">
      <x:c r="A9" s="13" t="str">
        <x:v>Asset section nodes</x:v>
      </x:c>
      <x:c r="B9" s="13" t="n">
        <x:v>65</x:v>
      </x:c>
      <x:c r="C9" s="13" t="n">
        <x:f>COUNTIF(AssetScope!B:B,"Section")</x:f>
        <x:v>65</x:v>
      </x:c>
      <x:c r="D9" s="13" t="str">
        <x:f>IF(B9=C9,"OK","CHECK")</x:f>
        <x:v>OK</x:v>
      </x:c>
    </x:row>
    <x:row r="10">
      <x:c r="A10" s="13" t="str">
        <x:v>Asset cavity nodes</x:v>
      </x:c>
      <x:c r="B10" s="13" t="n">
        <x:v>195</x:v>
      </x:c>
      <x:c r="C10" s="13" t="n">
        <x:f>COUNTIF(AssetScope!B:B,"Cavity")</x:f>
        <x:v>195</x:v>
      </x:c>
      <x:c r="D10" s="13" t="str">
        <x:f>IF(B10=C10,"OK","CHECK")</x:f>
        <x:v>OK</x:v>
      </x:c>
    </x:row>
    <x:row r="11">
      <x:c r="A11" s="13" t="str">
        <x:v>Total asset nodes</x:v>
      </x:c>
      <x:c r="B11" s="13" t="n">
        <x:v>265</x:v>
      </x:c>
      <x:c r="C11" s="13" t="n">
        <x:f>COUNTA(AssetScope!A5:A269)</x:f>
        <x:v>265</x:v>
      </x:c>
      <x:c r="D11" s="13" t="str">
        <x:f>IF(B11=C11,"OK","CHECK")</x:f>
        <x:v>OK</x:v>
      </x:c>
    </x:row>
    <x:row r="12">
      <x:c r="A12" s="13" t="str">
        <x:v>Invalid asset hierarchy rows</x:v>
      </x:c>
      <x:c r="B12" s="13" t="n">
        <x:v>0</x:v>
      </x:c>
      <x:c r="C12" s="13" t="n">
        <x:f>COUNTIF(AssetScope!J5:J269,"&lt;&gt;OK")</x:f>
        <x:v>0</x:v>
      </x:c>
      <x:c r="D12" s="13" t="str">
        <x:f>IF(B12=C12,"OK","CHECK")</x:f>
        <x:v>OK</x:v>
      </x:c>
    </x:row>
    <x:row r="13">
      <x:c r="A13" s="13" t="str">
        <x:v>Invalid product/line setups</x:v>
      </x:c>
      <x:c r="B13" s="13" t="n">
        <x:v>0</x:v>
      </x:c>
      <x:c r="C13" s="13" t="n">
        <x:f>COUNTIF(ProductLineStandardSetup!K5:K15,"&lt;&gt;OK")</x:f>
        <x:v>0</x:v>
      </x:c>
      <x:c r="D13" s="13" t="str">
        <x:f>IF(B13=C13,"OK","CHECK")</x:f>
        <x:v>OK</x:v>
      </x:c>
    </x:row>
  </x:sheetData>
  <x:conditionalFormatting sqref="D5:D13">
    <x:cfRule type="expression" dxfId="3" priority="1">
      <x:formula>D5="OK"</x:formula>
    </x:cfRule>
  </x:conditionalFormatting>
  <x:pageMargins left="0.7" right="0.7" top="0.75" bottom="0.75" header="0.3" footer="0.3"/>
</x:worksheet>
</file>