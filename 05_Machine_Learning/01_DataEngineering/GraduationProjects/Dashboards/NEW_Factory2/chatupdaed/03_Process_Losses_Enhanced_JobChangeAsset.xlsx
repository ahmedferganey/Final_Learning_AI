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42bb84a36d4b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043c6ba3361b40ed"/>
    <x:sheet xmlns:r="http://schemas.openxmlformats.org/officeDocument/2006/relationships" name="LossesOutput" sheetId="2" r:id="Re3978f1c3be94155"/>
    <x:sheet xmlns:r="http://schemas.openxmlformats.org/officeDocument/2006/relationships" name="ProductionReference" sheetId="3" r:id="Ra5601a66a4514596"/>
    <x:sheet xmlns:r="http://schemas.openxmlformats.org/officeDocument/2006/relationships" name="ValidationLists" sheetId="4" r:id="R8cbcd966bc654aa5"/>
    <x:sheet xmlns:r="http://schemas.openxmlformats.org/officeDocument/2006/relationships" name="DataChecks" sheetId="5" r:id="R8e002c56084646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%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03438"/>
      </x:patternFill>
    </x:fill>
    <x:fill>
      <x:patternFill patternType="solid">
        <x:fgColor rgb="FF27345F"/>
      </x:patternFill>
    </x:fill>
    <x:fill>
      <x:patternFill patternType="solid">
        <x:fgColor rgb="FFFFF4CC"/>
      </x:patternFill>
    </x:fill>
    <x:fill>
      <x:patternFill patternType="solid">
        <x:fgColor rgb="FFEAF3F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4" borderId="0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1" fontId="0" fillId="4" borderId="1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ill>
        <x:patternFill patternType="solid">
          <x:bgColor rgb="FFF8D7DA"/>
        </x:patternFill>
      </x:fill>
    </x:dxf>
    <x:dxf>
      <x:fill>
        <x:patternFill patternType="solid">
          <x:bgColor rgb="FFF8D7DA"/>
        </x:patternFill>
      </x:fill>
    </x:dxf>
    <x:dxf>
      <x:fill>
        <x:patternFill patternType="solid">
          <x:bgColor rgb="FFF8D7DA"/>
        </x:patternFill>
      </x:fill>
    </x:dxf>
    <x:dxf>
      <x:fill>
        <x:patternFill patternType="solid">
          <x:bgColor rgb="FFF8D7DA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8D7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851efb037c4b58" /><Relationship Type="http://schemas.openxmlformats.org/officeDocument/2006/relationships/theme" Target="/xl/theme/theme1.xml" Id="R1894693bb8cd440c" /><Relationship Type="http://schemas.openxmlformats.org/officeDocument/2006/relationships/sharedStrings" Target="/xl/sharedStrings.xml" Id="R41745109655e47fd" /><Relationship Type="http://schemas.openxmlformats.org/officeDocument/2006/relationships/worksheet" Target="/xl/worksheets/sheet1.xml" Id="R043c6ba3361b40ed" /><Relationship Type="http://schemas.openxmlformats.org/officeDocument/2006/relationships/worksheet" Target="/xl/worksheets/sheet2.xml" Id="Re3978f1c3be94155" /><Relationship Type="http://schemas.openxmlformats.org/officeDocument/2006/relationships/worksheet" Target="/xl/worksheets/sheet3.xml" Id="Ra5601a66a4514596" /><Relationship Type="http://schemas.openxmlformats.org/officeDocument/2006/relationships/worksheet" Target="/xl/worksheets/sheet4.xml" Id="R8cbcd966bc654aa5" /><Relationship Type="http://schemas.openxmlformats.org/officeDocument/2006/relationships/worksheet" Target="/xl/worksheets/sheet5.xml" Id="R8e002c5608464694" /></Relationships>
</file>

<file path=xl/tables/table1.xml><?xml version="1.0" encoding="utf-8"?>
<x:table xmlns:x="http://schemas.openxmlformats.org/spreadsheetml/2006/main" id="1" name="LossesProductionReferenceTable" displayName="LossesProductionReferenceTable" ref="A4:I74" headerRowCount="1" totalsRowCount="0" totalsRowShown="0">
  <x:tableColumns count="9">
    <x:tableColumn id="1" name="ProductionEventID"/>
    <x:tableColumn id="2" name="FactoryCode"/>
    <x:tableColumn id="3" name="EventDate"/>
    <x:tableColumn id="4" name="ShiftCode"/>
    <x:tableColumn id="5" name="LineNumber"/>
    <x:tableColumn id="6" name="OrderNumber"/>
    <x:tableColumn id="7" name="CaseName"/>
    <x:tableColumn id="8" name="DesignOutput"/>
    <x:tableColumn id="9" name="TotalRejec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ossesDataChecksTable" displayName="LossesDataChecksTable" ref="A4:D11" headerRowCount="1" totalsRowCount="0" totalsRowShown="0">
  <x:tableColumns count="4">
    <x:tableColumn id="1" name="Check"/>
    <x:tableColumn id="2" name="Expected"/>
    <x:tableColumn id="3" name="Actual"/>
    <x:tableColumn id="4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05bfcb2e93547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9b78f77d6fe347b8" /></Relationships>
</file>

<file path=xl/worksheets/sheet1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>
      <x:c r="A1" s="13" t="str">
        <x:v>PROCESS LOSSES — Instructions</x:v>
      </x:c>
    </x:row>
    <x:row r="2">
      <x:c r="A2" s="13"/>
    </x:row>
    <x:row r="3">
      <x:c r="A3" s="13" t="str">
        <x:v>Owner: Process Engineers</x:v>
      </x:c>
    </x:row>
    <x:row r="4">
      <x:c r="A4" s="13"/>
    </x:row>
    <x:row r="5">
      <x:c r="A5" s="13" t="str">
        <x:v>This sheet is WIDE on purpose. SSIS will unpivot the 11 % columns.</x:v>
      </x:c>
    </x:row>
    <x:row r="6">
      <x:c r="A6" s="13"/>
    </x:row>
    <x:row r="7">
      <x:c r="A7" s="13" t="str">
        <x:v>Business rules (locked):</x:v>
      </x:c>
    </x:row>
    <x:row r="8">
      <x:c r="A8" s="13" t="str">
        <x:v>• Each % is a percentage of Design Output</x:v>
      </x:c>
    </x:row>
    <x:row r="9">
      <x:c r="A9" s="13" t="str">
        <x:v>• ComputedValue = LossPercent × DesignOutput</x:v>
      </x:c>
    </x:row>
    <x:row r="10">
      <x:c r="A10" s="13" t="str">
        <x:v>• Total Losses % = SUM of the 11 percentage columns</x:v>
      </x:c>
    </x:row>
    <x:row r="11">
      <x:c r="A11" s="13"/>
    </x:row>
    <x:row r="12">
      <x:c r="A12" s="13" t="str">
        <x:v>Keep Excel column names WITHOUT _Pct suffix. SSIS maps them.</x:v>
      </x:c>
    </x:row>
    <x:row r="13">
      <x:c r="A13" s="13"/>
    </x:row>
    <x:row r="14">
      <x:c r="A14" s="13" t="str">
        <x:v>Save as 03_Process_Losses_YYYYMMDD.xlsx into the OneDrive Daily folder</x:v>
      </x:c>
    </x:row>
    <x:row r="15">
      <x:c r="A15" s="13"/>
    </x:row>
    <x:row r="16">
      <x:c r="A16" s="13" t="str">
        <x:v>Dataset note: one-week subset (2025-10-20 to 2025-10-26); rows remain keyed to production and loss percentages reconcile to TotalReject_Value.</x:v>
      </x:c>
    </x:row>
    <x:row r="17">
      <x:c r="A17" s="13"/>
    </x:row>
    <x:row r="18">
      <x:c r="A18" s="13" t="str">
        <x:v>ENHANCED VALIDATION / EVENT LINKING</x:v>
      </x:c>
    </x:row>
    <x:row r="19">
      <x:c r="A19" s="13" t="str">
        <x:v>Original LossesOutput A:R columns and wide format are preserved for current ETL / Power BI compatibility.</x:v>
      </x:c>
    </x:row>
    <x:row r="20">
      <x:c r="A20" s="13" t="str">
        <x:v>ProductionEventID links every row to the existing line-level production event.</x:v>
      </x:c>
    </x:row>
    <x:row r="21">
      <x:c r="A21" s="13" t="str">
        <x:v>DesignOutput_Reference is a local QA value used only for reconciliation.</x:v>
      </x:c>
    </x:row>
    <x:row r="22">
      <x:c r="A22" s="13" t="str">
        <x:v>LossPercentSum and CalculatedRejectQty are formula-driven.</x:v>
      </x:c>
    </x:row>
    <x:row r="23">
      <x:c r="A23" s="13" t="str">
        <x:v>LossReconciliationCheck validates all 11 loss percentages against TotalReject_Value.</x:v>
      </x:c>
    </x:row>
    <x:row r="24">
      <x:c r="A24" s="13" t="str">
        <x:v>ProductionReference is a local QA sheet, not a replacement for FACT_PRODUCTION.</x:v>
      </x:c>
    </x:row>
    <x:row r="25">
      <x:c r="A25" s="13" t="str">
        <x:v>Review DataChecks before unpivot / load.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4.25" hidden="0" customWidth="1"/>
    <x:col min="2" max="2" width="9.880000114440918" hidden="0" customWidth="1"/>
    <x:col min="3" max="3" width="8.380000114440918" hidden="0" customWidth="1"/>
    <x:col min="4" max="4" width="7.880000114440918" hidden="0" customWidth="1"/>
    <x:col min="5" max="5" width="15.380000114440918" hidden="0" customWidth="1"/>
    <x:col min="6" max="6" width="8.630000114440918" hidden="0" customWidth="1"/>
    <x:col min="7" max="7" width="14.130000114440918" hidden="0" customWidth="1"/>
    <x:col min="8" max="8" width="10.25" hidden="0" customWidth="1"/>
    <x:col min="9" max="9" width="10.25" hidden="0" customWidth="1"/>
    <x:col min="10" max="10" width="18.1299991607666" hidden="0" customWidth="1"/>
    <x:col min="11" max="11" width="14" hidden="0" customWidth="1"/>
    <x:col min="12" max="12" width="10.25" hidden="0" customWidth="1"/>
    <x:col min="13" max="13" width="10.25" hidden="0" customWidth="1"/>
    <x:col min="14" max="14" width="10.25" hidden="0" customWidth="1"/>
    <x:col min="15" max="15" width="10.25" hidden="0" customWidth="1"/>
    <x:col min="16" max="16" width="10.25" hidden="0" customWidth="1"/>
    <x:col min="17" max="17" width="10.25" hidden="0" customWidth="1"/>
    <x:col min="18" max="18" width="12.380000114440918" hidden="0" customWidth="1"/>
    <x:col min="19" max="19" width="14.75" hidden="0" customWidth="1"/>
    <x:col min="20" max="20" width="19.6299991607666" hidden="0" customWidth="1"/>
    <x:col min="21" max="21" width="12.880000114440918" hidden="0" customWidth="1"/>
    <x:col min="22" max="22" width="16" hidden="0" customWidth="1"/>
    <x:col min="23" max="23" width="19" hidden="0" customWidth="1"/>
    <x:col min="24" max="24" width="16.5" hidden="0" customWidth="1"/>
    <x:col min="25" max="25" width="16.25" hidden="0" customWidth="1"/>
    <x:col min="26" max="26" width="20.75" hidden="0" customWidth="1"/>
  </x:cols>
  <x:sheetData>
    <x:row r="1">
      <x:c r="A1" s="12" t="str">
        <x:v>LOSSES &amp; OUTPUT (WIDE FORMAT)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3" t="str">
        <x:v>Maps to STG_LOSSESOUTPUT → FACT_LOSSESOUTPUT (unpivoted)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>
      <x:c r="A3" s="13" t="str">
        <x:v>One row = Line + Date + Shift + Order. Percentages are of Design Output.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</x:row>
    <x:row r="4">
      <x:c r="A4" s="8" t="str">
        <x:v>FactoryCode</x:v>
      </x:c>
      <x:c r="B4" s="8" t="str">
        <x:v>LineNumber</x:v>
      </x:c>
      <x:c r="C4" s="8" t="str">
        <x:v>EventDate</x:v>
      </x:c>
      <x:c r="D4" s="8" t="str">
        <x:v>ShiftCode</x:v>
      </x:c>
      <x:c r="E4" s="8" t="str">
        <x:v>OrderNumber</x:v>
      </x:c>
      <x:c r="F4" s="8" t="str">
        <x:v>CaseName</x:v>
      </x:c>
      <x:c r="G4" s="8" t="str">
        <x:v>TotalReject_Value</x:v>
      </x:c>
      <x:c r="H4" s="8" t="str">
        <x:v>FixedLosses</x:v>
      </x:c>
      <x:c r="I4" s="8" t="str">
        <x:v>ISLosses</x:v>
      </x:c>
      <x:c r="J4" s="8" t="str">
        <x:v>HotEndConveyerLosses</x:v>
      </x:c>
      <x:c r="K4" s="8" t="str">
        <x:v>StuckDownLosses</x:v>
      </x:c>
      <x:c r="L4" s="8" t="str">
        <x:v>LehrLosses</x:v>
      </x:c>
      <x:c r="M4" s="8" t="str">
        <x:v>Evo16Losses</x:v>
      </x:c>
      <x:c r="N4" s="8" t="str">
        <x:v>Evo12Losses</x:v>
      </x:c>
      <x:c r="O4" s="8" t="str">
        <x:v>Evo5Losses</x:v>
      </x:c>
      <x:c r="P4" s="8" t="str">
        <x:v>SanliLosses</x:v>
      </x:c>
      <x:c r="Q4" s="8" t="str">
        <x:v>VisualLosses</x:v>
      </x:c>
      <x:c r="R4" s="8" t="str">
        <x:v>PalletizerLosses</x:v>
      </x:c>
      <x:c r="S4" s="8" t="str">
        <x:v>ProductionEventID</x:v>
      </x:c>
      <x:c r="T4" s="8" t="str">
        <x:v>DesignOutput_Reference</x:v>
      </x:c>
      <x:c r="U4" s="8" t="str">
        <x:v>LossPercentSum</x:v>
      </x:c>
      <x:c r="V4" s="8" t="str">
        <x:v>CalculatedRejectQty</x:v>
      </x:c>
      <x:c r="W4" s="8" t="str">
        <x:v>LossReconciliationCheck</x:v>
      </x:c>
      <x:c r="X4" s="8" t="str">
        <x:v>ProductionLinkCheck</x:v>
      </x:c>
      <x:c r="Y4" s="8" t="str">
        <x:v>CaseNameLinkCheck</x:v>
      </x:c>
      <x:c r="Z4" s="8" t="str">
        <x:v>NaturalKeyDuplicateCheck</x:v>
      </x:c>
    </x:row>
    <x:row r="5">
      <x:c r="A5" s="13" t="str">
        <x:v>KG01</x:v>
      </x:c>
      <x:c r="B5" s="13" t="n">
        <x:v>21</x:v>
      </x:c>
      <x:c r="C5" s="20" t="n">
        <x:v>45950</x:v>
      </x:c>
      <x:c r="D5" s="13" t="str">
        <x:v>AM</x:v>
      </x:c>
      <x:c r="E5" s="13" t="str">
        <x:v>ORD-2025-00019</x:v>
      </x:c>
      <x:c r="F5" s="13" t="str">
        <x:v>Normal</x:v>
      </x:c>
      <x:c r="G5" s="13" t="n">
        <x:v>13161</x:v>
      </x:c>
      <x:c r="H5" s="22" t="n">
        <x:v>0.00612547756622778</x:v>
      </x:c>
      <x:c r="I5" s="22" t="n">
        <x:v>0.012625903823687284</x:v>
      </x:c>
      <x:c r="J5" s="22" t="n">
        <x:v>0.004507277951438224</x:v>
      </x:c>
      <x:c r="K5" s="22" t="n">
        <x:v>0.0033982191910580657</x:v>
      </x:c>
      <x:c r="L5" s="22" t="n">
        <x:v>0.002762779830128509</x:v>
      </x:c>
      <x:c r="M5" s="22" t="n">
        <x:v>0.006097849767926494</x:v>
      </x:c>
      <x:c r="N5" s="22" t="n">
        <x:v>0.0014090177133655394</x:v>
      </x:c>
      <x:c r="O5" s="22" t="n">
        <x:v>0.0016774020397208804</x:v>
      </x:c>
      <x:c r="P5" s="22" t="n">
        <x:v>0.002012882447665056</x:v>
      </x:c>
      <x:c r="Q5" s="22" t="n">
        <x:v>0.006504373085788261</x:v>
      </x:c>
      <x:c r="R5" s="22" t="n">
        <x:v>0.004823024217738625</x:v>
      </x:c>
      <x:c r="S5" s="23" t="str">
        <x:v>PE000001</x:v>
      </x:c>
      <x:c r="T5" s="23" t="n">
        <x:v>253368</x:v>
      </x:c>
      <x:c r="U5" s="23" t="n">
        <x:f>SUM(H5:R5)</x:f>
        <x:v>0.05194420763474472</x:v>
      </x:c>
      <x:c r="V5" s="18" t="n">
        <x:f>ROUND(T5*U5,0)</x:f>
        <x:v>13161</x:v>
      </x:c>
      <x:c r="W5" s="18" t="str">
        <x:f>IF(ABS(G5-V5)&lt;=1,"OK","CHECK")</x:f>
        <x:v>OK</x:v>
      </x:c>
      <x:c r="X5" s="18" t="str">
        <x:f>IF(COUNTIF(ProductionReference!$A$5:$A$74,S5)=1,"OK","LINK ERROR")</x:f>
        <x:v>OK</x:v>
      </x:c>
      <x:c r="Y5" s="18" t="str">
        <x:f>IF(F5=INDEX(ProductionReference!$G$5:$G$74,MATCH(S5,ProductionReference!$A$5:$A$74,0)),"OK","CASE MISMATCH")</x:f>
        <x:v>OK</x:v>
      </x:c>
      <x:c r="Z5" s="18" t="str">
        <x:f>IF(COUNTIFS($A$5:$A$74,A5,$B$5:$B$74,B5,$C$5:$C$74,C5,$D$5:$D$74,D5,$E$5:$E$74,E5)=1,"OK","DUPLICATE")</x:f>
        <x:v>OK</x:v>
      </x:c>
    </x:row>
    <x:row r="6">
      <x:c r="A6" s="13" t="str">
        <x:v>KG01</x:v>
      </x:c>
      <x:c r="B6" s="13" t="n">
        <x:v>21</x:v>
      </x:c>
      <x:c r="C6" s="20" t="n">
        <x:v>45950</x:v>
      </x:c>
      <x:c r="D6" s="13" t="str">
        <x:v>PM</x:v>
      </x:c>
      <x:c r="E6" s="13" t="str">
        <x:v>ORD-2025-00019</x:v>
      </x:c>
      <x:c r="F6" s="13" t="str">
        <x:v>Normal</x:v>
      </x:c>
      <x:c r="G6" s="13" t="n">
        <x:v>10575</x:v>
      </x:c>
      <x:c r="H6" s="22" t="n">
        <x:v>0.007468625650443832</x:v>
      </x:c>
      <x:c r="I6" s="22" t="n">
        <x:v>0.013284358738904193</x:v>
      </x:c>
      <x:c r="J6" s="22" t="n">
        <x:v>0.0018540382176745814</x:v>
      </x:c>
      <x:c r="K6" s="22" t="n">
        <x:v>0.0025799116708207616</x:v>
      </x:c>
      <x:c r="L6" s="22" t="n">
        <x:v>0.004355240718877083</x:v>
      </x:c>
      <x:c r="M6" s="22" t="n">
        <x:v>0.004237176964449692</x:v>
      </x:c>
      <x:c r="N6" s="22" t="n">
        <x:v>0.001757838121474485</x:v>
      </x:c>
      <x:c r="O6" s="22" t="n">
        <x:v>0.00042415496960951507</x:v>
      </x:c>
      <x:c r="P6" s="22" t="n">
        <x:v>0.00420219511128602</x:v>
      </x:c>
      <x:c r="Q6" s="22" t="n">
        <x:v>0.005177314268223359</x:v>
      </x:c>
      <x:c r="R6" s="22" t="n">
        <x:v>0.0009007827189645371</x:v>
      </x:c>
      <x:c r="S6" s="23" t="str">
        <x:v>PE000002</x:v>
      </x:c>
      <x:c r="T6" s="23" t="n">
        <x:v>228690</x:v>
      </x:c>
      <x:c r="U6" s="23" t="n">
        <x:f>SUM(H6:R6)</x:f>
        <x:v>0.046241637150728064</x:v>
      </x:c>
      <x:c r="V6" s="18" t="n">
        <x:f>ROUND(T6*U6,0)</x:f>
        <x:v>10575</x:v>
      </x:c>
      <x:c r="W6" s="18" t="str">
        <x:f>IF(ABS(G6-V6)&lt;=1,"OK","CHECK")</x:f>
        <x:v>OK</x:v>
      </x:c>
      <x:c r="X6" s="18" t="str">
        <x:f>IF(COUNTIF(ProductionReference!$A$5:$A$74,S6)=1,"OK","LINK ERROR")</x:f>
        <x:v>OK</x:v>
      </x:c>
      <x:c r="Y6" s="18" t="str">
        <x:f>IF(F6=INDEX(ProductionReference!$G$5:$G$74,MATCH(S6,ProductionReference!$A$5:$A$74,0)),"OK","CASE MISMATCH")</x:f>
        <x:v>OK</x:v>
      </x:c>
      <x:c r="Z6" s="18" t="str">
        <x:f>IF(COUNTIFS($A$5:$A$74,A6,$B$5:$B$74,B6,$C$5:$C$74,C6,$D$5:$D$74,D6,$E$5:$E$74,E6)=1,"OK","DUPLICATE")</x:f>
        <x:v>OK</x:v>
      </x:c>
    </x:row>
    <x:row r="7">
      <x:c r="A7" s="13" t="str">
        <x:v>KG01</x:v>
      </x:c>
      <x:c r="B7" s="13" t="n">
        <x:v>21</x:v>
      </x:c>
      <x:c r="C7" s="20" t="n">
        <x:v>45951</x:v>
      </x:c>
      <x:c r="D7" s="13" t="str">
        <x:v>AM</x:v>
      </x:c>
      <x:c r="E7" s="13" t="str">
        <x:v>ORD-2025-00020</x:v>
      </x:c>
      <x:c r="F7" s="13" t="str">
        <x:v>Trial</x:v>
      </x:c>
      <x:c r="G7" s="13" t="n">
        <x:v>9054</x:v>
      </x:c>
      <x:c r="H7" s="22" t="n">
        <x:v>0.005696484201157099</x:v>
      </x:c>
      <x:c r="I7" s="22" t="n">
        <x:v>0.01855807743658211</x:v>
      </x:c>
      <x:c r="J7" s="22" t="n">
        <x:v>0.006797952825990209</x:v>
      </x:c>
      <x:c r="K7" s="22" t="n">
        <x:v>0.009668446817979529</x:v>
      </x:c>
      <x:c r="L7" s="22" t="n">
        <x:v>0.003415665331553182</x:v>
      </x:c>
      <x:c r="M7" s="22" t="n">
        <x:v>0.018791722296395193</x:v>
      </x:c>
      <x:c r="N7" s="22" t="n">
        <x:v>0.0025700934579439253</x:v>
      </x:c>
      <x:c r="O7" s="22" t="n">
        <x:v>0.0059412550066755675</x:v>
      </x:c>
      <x:c r="P7" s="22" t="n">
        <x:v>0.0069648420115709835</x:v>
      </x:c>
      <x:c r="Q7" s="22" t="n">
        <x:v>0.011003560302625724</x:v>
      </x:c>
      <x:c r="R7" s="22" t="n">
        <x:v>0.011326212728081887</x:v>
      </x:c>
      <x:c r="S7" s="23" t="str">
        <x:v>PE000003</x:v>
      </x:c>
      <x:c r="T7" s="23" t="n">
        <x:v>89880</x:v>
      </x:c>
      <x:c r="U7" s="23" t="n">
        <x:f>SUM(H7:R7)</x:f>
        <x:v>0.10073431241655541</x:v>
      </x:c>
      <x:c r="V7" s="18" t="n">
        <x:f>ROUND(T7*U7,0)</x:f>
        <x:v>9054</x:v>
      </x:c>
      <x:c r="W7" s="18" t="str">
        <x:f>IF(ABS(G7-V7)&lt;=1,"OK","CHECK")</x:f>
        <x:v>OK</x:v>
      </x:c>
      <x:c r="X7" s="18" t="str">
        <x:f>IF(COUNTIF(ProductionReference!$A$5:$A$74,S7)=1,"OK","LINK ERROR")</x:f>
        <x:v>OK</x:v>
      </x:c>
      <x:c r="Y7" s="18" t="str">
        <x:f>IF(F7=INDEX(ProductionReference!$G$5:$G$74,MATCH(S7,ProductionReference!$A$5:$A$74,0)),"OK","CASE MISMATCH")</x:f>
        <x:v>OK</x:v>
      </x:c>
      <x:c r="Z7" s="18" t="str">
        <x:f>IF(COUNTIFS($A$5:$A$74,A7,$B$5:$B$74,B7,$C$5:$C$74,C7,$D$5:$D$74,D7,$E$5:$E$74,E7)=1,"OK","DUPLICATE")</x:f>
        <x:v>OK</x:v>
      </x:c>
    </x:row>
    <x:row r="8">
      <x:c r="A8" s="13" t="str">
        <x:v>KG01</x:v>
      </x:c>
      <x:c r="B8" s="13" t="n">
        <x:v>21</x:v>
      </x:c>
      <x:c r="C8" s="20" t="n">
        <x:v>45951</x:v>
      </x:c>
      <x:c r="D8" s="13" t="str">
        <x:v>PM</x:v>
      </x:c>
      <x:c r="E8" s="13" t="str">
        <x:v>ORD-2025-00020</x:v>
      </x:c>
      <x:c r="F8" s="13" t="str">
        <x:v>Normal</x:v>
      </x:c>
      <x:c r="G8" s="13" t="n">
        <x:v>6646</x:v>
      </x:c>
      <x:c r="H8" s="22" t="n">
        <x:v>0.004016064257028112</x:v>
      </x:c>
      <x:c r="I8" s="22" t="n">
        <x:v>0.007860011474469306</x:v>
      </x:c>
      <x:c r="J8" s="22" t="n">
        <x:v>0.0040088927137119906</x:v>
      </x:c>
      <x:c r="K8" s="22" t="n">
        <x:v>0.005027251864601262</x:v>
      </x:c>
      <x:c r="L8" s="22" t="n">
        <x:v>0.0025602409638554218</x:v>
      </x:c>
      <x:c r="M8" s="22" t="n">
        <x:v>0.0032343660355708547</x:v>
      </x:c>
      <x:c r="N8" s="22" t="n">
        <x:v>0.005256741250717154</x:v>
      </x:c>
      <x:c r="O8" s="22" t="n">
        <x:v>0.0011331038439472173</x:v>
      </x:c>
      <x:c r="P8" s="22" t="n">
        <x:v>0.004718875502008032</x:v>
      </x:c>
      <x:c r="Q8" s="22" t="n">
        <x:v>0.005615318416523235</x:v>
      </x:c>
      <x:c r="R8" s="22" t="n">
        <x:v>0.004231210556511761</x:v>
      </x:c>
      <x:c r="S8" s="23" t="str">
        <x:v>PE000004</x:v>
      </x:c>
      <x:c r="T8" s="23" t="n">
        <x:v>139440</x:v>
      </x:c>
      <x:c r="U8" s="23" t="n">
        <x:f>SUM(H8:R8)</x:f>
        <x:v>0.04766207687894434</x:v>
      </x:c>
      <x:c r="V8" s="18" t="n">
        <x:f>ROUND(T8*U8,0)</x:f>
        <x:v>6646</x:v>
      </x:c>
      <x:c r="W8" s="18" t="str">
        <x:f>IF(ABS(G8-V8)&lt;=1,"OK","CHECK")</x:f>
        <x:v>OK</x:v>
      </x:c>
      <x:c r="X8" s="18" t="str">
        <x:f>IF(COUNTIF(ProductionReference!$A$5:$A$74,S8)=1,"OK","LINK ERROR")</x:f>
        <x:v>OK</x:v>
      </x:c>
      <x:c r="Y8" s="18" t="str">
        <x:f>IF(F8=INDEX(ProductionReference!$G$5:$G$74,MATCH(S8,ProductionReference!$A$5:$A$74,0)),"OK","CASE MISMATCH")</x:f>
        <x:v>OK</x:v>
      </x:c>
      <x:c r="Z8" s="18" t="str">
        <x:f>IF(COUNTIFS($A$5:$A$74,A8,$B$5:$B$74,B8,$C$5:$C$74,C8,$D$5:$D$74,D8,$E$5:$E$74,E8)=1,"OK","DUPLICATE")</x:f>
        <x:v>OK</x:v>
      </x:c>
    </x:row>
    <x:row r="9">
      <x:c r="A9" s="13" t="str">
        <x:v>KG01</x:v>
      </x:c>
      <x:c r="B9" s="13" t="n">
        <x:v>21</x:v>
      </x:c>
      <x:c r="C9" s="20" t="n">
        <x:v>45952</x:v>
      </x:c>
      <x:c r="D9" s="13" t="str">
        <x:v>AM</x:v>
      </x:c>
      <x:c r="E9" s="13" t="str">
        <x:v>ORD-2025-00020</x:v>
      </x:c>
      <x:c r="F9" s="13" t="str">
        <x:v>Normal</x:v>
      </x:c>
      <x:c r="G9" s="13" t="n">
        <x:v>6951</x:v>
      </x:c>
      <x:c r="H9" s="22" t="n">
        <x:v>0.005407920919186084</x:v>
      </x:c>
      <x:c r="I9" s="22" t="n">
        <x:v>0.011473778804801335</x:v>
      </x:c>
      <x:c r="J9" s="22" t="n">
        <x:v>0.0015646062006547275</x:v>
      </x:c>
      <x:c r="K9" s="22" t="n">
        <x:v>0.003939598177033186</x:v>
      </x:c>
      <x:c r="L9" s="22" t="n">
        <x:v>0.005271519352975159</x:v>
      </x:c>
      <x:c r="M9" s="22" t="n">
        <x:v>0.006322613774953463</x:v>
      </x:c>
      <x:c r="N9" s="22" t="n">
        <x:v>0.0057930547531934015</x:v>
      </x:c>
      <x:c r="O9" s="22" t="n">
        <x:v>0.0029687399704730727</x:v>
      </x:c>
      <x:c r="P9" s="22" t="n">
        <x:v>0.0024953462995057447</x:v>
      </x:c>
      <x:c r="Q9" s="22" t="n">
        <x:v>0.006186212208742538</x:v>
      </x:c>
      <x:c r="R9" s="22" t="n">
        <x:v>0.0043488028756659605</x:v>
      </x:c>
      <x:c r="S9" s="23" t="str">
        <x:v>PE000005</x:v>
      </x:c>
      <x:c r="T9" s="23" t="n">
        <x:v>124632</x:v>
      </x:c>
      <x:c r="U9" s="23" t="n">
        <x:f>SUM(H9:R9)</x:f>
        <x:v>0.055772193337184674</x:v>
      </x:c>
      <x:c r="V9" s="18" t="n">
        <x:f>ROUND(T9*U9,0)</x:f>
        <x:v>6951</x:v>
      </x:c>
      <x:c r="W9" s="18" t="str">
        <x:f>IF(ABS(G9-V9)&lt;=1,"OK","CHECK")</x:f>
        <x:v>OK</x:v>
      </x:c>
      <x:c r="X9" s="18" t="str">
        <x:f>IF(COUNTIF(ProductionReference!$A$5:$A$74,S9)=1,"OK","LINK ERROR")</x:f>
        <x:v>OK</x:v>
      </x:c>
      <x:c r="Y9" s="18" t="str">
        <x:f>IF(F9=INDEX(ProductionReference!$G$5:$G$74,MATCH(S9,ProductionReference!$A$5:$A$74,0)),"OK","CASE MISMATCH")</x:f>
        <x:v>OK</x:v>
      </x:c>
      <x:c r="Z9" s="18" t="str">
        <x:f>IF(COUNTIFS($A$5:$A$74,A9,$B$5:$B$74,B9,$C$5:$C$74,C9,$D$5:$D$74,D9,$E$5:$E$74,E9)=1,"OK","DUPLICATE")</x:f>
        <x:v>OK</x:v>
      </x:c>
    </x:row>
    <x:row r="10">
      <x:c r="A10" s="13" t="str">
        <x:v>KG01</x:v>
      </x:c>
      <x:c r="B10" s="13" t="n">
        <x:v>21</x:v>
      </x:c>
      <x:c r="C10" s="20" t="n">
        <x:v>45952</x:v>
      </x:c>
      <x:c r="D10" s="13" t="str">
        <x:v>PM</x:v>
      </x:c>
      <x:c r="E10" s="13" t="str">
        <x:v>ORD-2025-00020</x:v>
      </x:c>
      <x:c r="F10" s="13" t="str">
        <x:v>Normal</x:v>
      </x:c>
      <x:c r="G10" s="13" t="n">
        <x:v>6388</x:v>
      </x:c>
      <x:c r="H10" s="22" t="n">
        <x:v>0.004248391448733914</x:v>
      </x:c>
      <x:c r="I10" s="22" t="n">
        <x:v>0.006285024906600249</x:v>
      </x:c>
      <x:c r="J10" s="22" t="n">
        <x:v>0.0034181714404317143</x:v>
      </x:c>
      <x:c r="K10" s="22" t="n">
        <x:v>0.0019133976753839767</x:v>
      </x:c>
      <x:c r="L10" s="22" t="n">
        <x:v>0.002918742216687422</x:v>
      </x:c>
      <x:c r="M10" s="22" t="n">
        <x:v>0.0033987131589871314</x:v>
      </x:c>
      <x:c r="N10" s="22" t="n">
        <x:v>0.0004345682855956829</x:v>
      </x:c>
      <x:c r="O10" s="22" t="n">
        <x:v>0.002309049398090494</x:v>
      </x:c>
      <x:c r="P10" s="22" t="n">
        <x:v>0.004903486924034869</x:v>
      </x:c>
      <x:c r="Q10" s="22" t="n">
        <x:v>0.009080531340805314</x:v>
      </x:c>
      <x:c r="R10" s="22" t="n">
        <x:v>0.0025230904939809048</x:v>
      </x:c>
      <x:c r="S10" s="23" t="str">
        <x:v>PE000006</x:v>
      </x:c>
      <x:c r="T10" s="23" t="n">
        <x:v>154176</x:v>
      </x:c>
      <x:c r="U10" s="23" t="n">
        <x:f>SUM(H10:R10)</x:f>
        <x:v>0.04143316728933167</x:v>
      </x:c>
      <x:c r="V10" s="18" t="n">
        <x:f>ROUND(T10*U10,0)</x:f>
        <x:v>6388</x:v>
      </x:c>
      <x:c r="W10" s="18" t="str">
        <x:f>IF(ABS(G10-V10)&lt;=1,"OK","CHECK")</x:f>
        <x:v>OK</x:v>
      </x:c>
      <x:c r="X10" s="18" t="str">
        <x:f>IF(COUNTIF(ProductionReference!$A$5:$A$74,S10)=1,"OK","LINK ERROR")</x:f>
        <x:v>OK</x:v>
      </x:c>
      <x:c r="Y10" s="18" t="str">
        <x:f>IF(F10=INDEX(ProductionReference!$G$5:$G$74,MATCH(S10,ProductionReference!$A$5:$A$74,0)),"OK","CASE MISMATCH")</x:f>
        <x:v>OK</x:v>
      </x:c>
      <x:c r="Z10" s="18" t="str">
        <x:f>IF(COUNTIFS($A$5:$A$74,A10,$B$5:$B$74,B10,$C$5:$C$74,C10,$D$5:$D$74,D10,$E$5:$E$74,E10)=1,"OK","DUPLICATE")</x:f>
        <x:v>OK</x:v>
      </x:c>
    </x:row>
    <x:row r="11">
      <x:c r="A11" s="13" t="str">
        <x:v>KG01</x:v>
      </x:c>
      <x:c r="B11" s="13" t="n">
        <x:v>21</x:v>
      </x:c>
      <x:c r="C11" s="20" t="n">
        <x:v>45953</x:v>
      </x:c>
      <x:c r="D11" s="13" t="str">
        <x:v>AM</x:v>
      </x:c>
      <x:c r="E11" s="13" t="str">
        <x:v>ORD-2025-00020</x:v>
      </x:c>
      <x:c r="F11" s="13" t="str">
        <x:v>Normal</x:v>
      </x:c>
      <x:c r="G11" s="13" t="n">
        <x:v>5426</x:v>
      </x:c>
      <x:c r="H11" s="22" t="n">
        <x:v>0.0021397379912663755</x:v>
      </x:c>
      <x:c r="I11" s="22" t="n">
        <x:v>0.007008733624454149</x:v>
      </x:c>
      <x:c r="J11" s="22" t="n">
        <x:v>0.008580786026200873</x:v>
      </x:c>
      <x:c r="K11" s="22" t="n">
        <x:v>0.0014337700145560408</x:v>
      </x:c>
      <x:c r="L11" s="22" t="n">
        <x:v>0.00136098981077147</x:v>
      </x:c>
      <x:c r="M11" s="22" t="n">
        <x:v>0.0036317321688500727</x:v>
      </x:c>
      <x:c r="N11" s="22" t="n">
        <x:v>0.0016739446870451238</x:v>
      </x:c>
      <x:c r="O11" s="22" t="n">
        <x:v>0.0031513828238719068</x:v>
      </x:c>
      <x:c r="P11" s="22" t="n">
        <x:v>0.0038355167394468702</x:v>
      </x:c>
      <x:c r="Q11" s="22" t="n">
        <x:v>0.003915574963609898</x:v>
      </x:c>
      <x:c r="R11" s="22" t="n">
        <x:v>0.0027583697234352255</x:v>
      </x:c>
      <x:c r="S11" s="23" t="str">
        <x:v>PE000007</x:v>
      </x:c>
      <x:c r="T11" s="23" t="n">
        <x:v>137400</x:v>
      </x:c>
      <x:c r="U11" s="23" t="n">
        <x:f>SUM(H11:R11)</x:f>
        <x:v>0.039490538573508004</x:v>
      </x:c>
      <x:c r="V11" s="18" t="n">
        <x:f>ROUND(T11*U11,0)</x:f>
        <x:v>5426</x:v>
      </x:c>
      <x:c r="W11" s="18" t="str">
        <x:f>IF(ABS(G11-V11)&lt;=1,"OK","CHECK")</x:f>
        <x:v>OK</x:v>
      </x:c>
      <x:c r="X11" s="18" t="str">
        <x:f>IF(COUNTIF(ProductionReference!$A$5:$A$74,S11)=1,"OK","LINK ERROR")</x:f>
        <x:v>OK</x:v>
      </x:c>
      <x:c r="Y11" s="18" t="str">
        <x:f>IF(F11=INDEX(ProductionReference!$G$5:$G$74,MATCH(S11,ProductionReference!$A$5:$A$74,0)),"OK","CASE MISMATCH")</x:f>
        <x:v>OK</x:v>
      </x:c>
      <x:c r="Z11" s="18" t="str">
        <x:f>IF(COUNTIFS($A$5:$A$74,A11,$B$5:$B$74,B11,$C$5:$C$74,C11,$D$5:$D$74,D11,$E$5:$E$74,E11)=1,"OK","DUPLICATE")</x:f>
        <x:v>OK</x:v>
      </x:c>
    </x:row>
    <x:row r="12">
      <x:c r="A12" s="13" t="str">
        <x:v>KG01</x:v>
      </x:c>
      <x:c r="B12" s="13" t="n">
        <x:v>21</x:v>
      </x:c>
      <x:c r="C12" s="20" t="n">
        <x:v>45953</x:v>
      </x:c>
      <x:c r="D12" s="13" t="str">
        <x:v>PM</x:v>
      </x:c>
      <x:c r="E12" s="13" t="str">
        <x:v>ORD-2025-00020</x:v>
      </x:c>
      <x:c r="F12" s="13" t="str">
        <x:v>Normal</x:v>
      </x:c>
      <x:c r="G12" s="13" t="n">
        <x:v>3550</x:v>
      </x:c>
      <x:c r="H12" s="22" t="n">
        <x:v>0.0027880746443620695</x:v>
      </x:c>
      <x:c r="I12" s="22" t="n">
        <x:v>0.004475176630865253</x:v>
      </x:c>
      <x:c r="J12" s="22" t="n">
        <x:v>0.002590057979279536</x:v>
      </x:c>
      <x:c r="K12" s="22" t="n">
        <x:v>0.0007287013275037227</x:v>
      </x:c>
      <x:c r="L12" s="22" t="n">
        <x:v>0.003493013972055888</x:v>
      </x:c>
      <x:c r="M12" s="22" t="n">
        <x:v>0.0035959826378988056</x:v>
      </x:c>
      <x:c r="N12" s="22" t="n">
        <x:v>0.0012435446567183094</x:v>
      </x:c>
      <x:c r="O12" s="22" t="n">
        <x:v>0.0006336533282641067</x:v>
      </x:c>
      <x:c r="P12" s="22" t="n">
        <x:v>0.0021465006494946616</x:v>
      </x:c>
      <x:c r="Q12" s="22" t="n">
        <x:v>0.001996007984031936</x:v>
      </x:c>
      <x:c r="R12" s="22" t="n">
        <x:v>0.0044276526312454455</x:v>
      </x:c>
      <x:c r="S12" s="23" t="str">
        <x:v>PE000008</x:v>
      </x:c>
      <x:c r="T12" s="23" t="n">
        <x:v>126252</x:v>
      </x:c>
      <x:c r="U12" s="23" t="n">
        <x:f>SUM(H12:R12)</x:f>
        <x:v>0.02811836644171974</x:v>
      </x:c>
      <x:c r="V12" s="18" t="n">
        <x:f>ROUND(T12*U12,0)</x:f>
        <x:v>3550</x:v>
      </x:c>
      <x:c r="W12" s="18" t="str">
        <x:f>IF(ABS(G12-V12)&lt;=1,"OK","CHECK")</x:f>
        <x:v>OK</x:v>
      </x:c>
      <x:c r="X12" s="18" t="str">
        <x:f>IF(COUNTIF(ProductionReference!$A$5:$A$74,S12)=1,"OK","LINK ERROR")</x:f>
        <x:v>OK</x:v>
      </x:c>
      <x:c r="Y12" s="18" t="str">
        <x:f>IF(F12=INDEX(ProductionReference!$G$5:$G$74,MATCH(S12,ProductionReference!$A$5:$A$74,0)),"OK","CASE MISMATCH")</x:f>
        <x:v>OK</x:v>
      </x:c>
      <x:c r="Z12" s="18" t="str">
        <x:f>IF(COUNTIFS($A$5:$A$74,A12,$B$5:$B$74,B12,$C$5:$C$74,C12,$D$5:$D$74,D12,$E$5:$E$74,E12)=1,"OK","DUPLICATE")</x:f>
        <x:v>OK</x:v>
      </x:c>
    </x:row>
    <x:row r="13">
      <x:c r="A13" s="13" t="str">
        <x:v>KG01</x:v>
      </x:c>
      <x:c r="B13" s="13" t="n">
        <x:v>21</x:v>
      </x:c>
      <x:c r="C13" s="20" t="n">
        <x:v>45954</x:v>
      </x:c>
      <x:c r="D13" s="13" t="str">
        <x:v>AM</x:v>
      </x:c>
      <x:c r="E13" s="13" t="str">
        <x:v>ORD-2025-00020</x:v>
      </x:c>
      <x:c r="F13" s="13" t="str">
        <x:v>Normal</x:v>
      </x:c>
      <x:c r="G13" s="13" t="n">
        <x:v>4499</x:v>
      </x:c>
      <x:c r="H13" s="22" t="n">
        <x:v>0.0037233493366372414</x:v>
      </x:c>
      <x:c r="I13" s="22" t="n">
        <x:v>0.006349698002168189</x:v>
      </x:c>
      <x:c r="J13" s="22" t="n">
        <x:v>0.0029102782509937536</x:v>
      </x:c>
      <x:c r="K13" s="22" t="n">
        <x:v>0.0019294305921222447</x:v>
      </x:c>
      <x:c r="L13" s="22" t="n">
        <x:v>0.003432966806050281</x:v>
      </x:c>
      <x:c r="M13" s="22" t="n">
        <x:v>0.0022133601775850497</x:v>
      </x:c>
      <x:c r="N13" s="22" t="n">
        <x:v>0.0015035362139280367</x:v>
      </x:c>
      <x:c r="O13" s="22" t="n">
        <x:v>0.0012905890248309329</x:v>
      </x:c>
      <x:c r="P13" s="22" t="n">
        <x:v>0.0015035362139280367</x:v>
      </x:c>
      <x:c r="Q13" s="22" t="n">
        <x:v>0.001942336482370554</x:v>
      </x:c>
      <x:c r="R13" s="22" t="n">
        <x:v>0.0022327190129575137</x:v>
      </x:c>
      <x:c r="S13" s="23" t="str">
        <x:v>PE000009</x:v>
      </x:c>
      <x:c r="T13" s="23" t="n">
        <x:v>154968</x:v>
      </x:c>
      <x:c r="U13" s="23" t="n">
        <x:f>SUM(H13:R13)</x:f>
        <x:v>0.029031800113571836</x:v>
      </x:c>
      <x:c r="V13" s="18" t="n">
        <x:f>ROUND(T13*U13,0)</x:f>
        <x:v>4499</x:v>
      </x:c>
      <x:c r="W13" s="18" t="str">
        <x:f>IF(ABS(G13-V13)&lt;=1,"OK","CHECK")</x:f>
        <x:v>OK</x:v>
      </x:c>
      <x:c r="X13" s="18" t="str">
        <x:f>IF(COUNTIF(ProductionReference!$A$5:$A$74,S13)=1,"OK","LINK ERROR")</x:f>
        <x:v>OK</x:v>
      </x:c>
      <x:c r="Y13" s="18" t="str">
        <x:f>IF(F13=INDEX(ProductionReference!$G$5:$G$74,MATCH(S13,ProductionReference!$A$5:$A$74,0)),"OK","CASE MISMATCH")</x:f>
        <x:v>OK</x:v>
      </x:c>
      <x:c r="Z13" s="18" t="str">
        <x:f>IF(COUNTIFS($A$5:$A$74,A13,$B$5:$B$74,B13,$C$5:$C$74,C13,$D$5:$D$74,D13,$E$5:$E$74,E13)=1,"OK","DUPLICATE")</x:f>
        <x:v>OK</x:v>
      </x:c>
    </x:row>
    <x:row r="14">
      <x:c r="A14" s="13" t="str">
        <x:v>KG01</x:v>
      </x:c>
      <x:c r="B14" s="13" t="n">
        <x:v>21</x:v>
      </x:c>
      <x:c r="C14" s="20" t="n">
        <x:v>45954</x:v>
      </x:c>
      <x:c r="D14" s="13" t="str">
        <x:v>PM</x:v>
      </x:c>
      <x:c r="E14" s="13" t="str">
        <x:v>ORD-2025-00020</x:v>
      </x:c>
      <x:c r="F14" s="13" t="str">
        <x:v>Normal</x:v>
      </x:c>
      <x:c r="G14" s="13" t="n">
        <x:v>3759</x:v>
      </x:c>
      <x:c r="H14" s="22" t="n">
        <x:v>0.0014960375222383955</x:v>
      </x:c>
      <x:c r="I14" s="22" t="n">
        <x:v>0.006242924146854278</x:v>
      </x:c>
      <x:c r="J14" s="22" t="n">
        <x:v>0.003760310528869481</x:v>
      </x:c>
      <x:c r="K14" s="22" t="n">
        <x:v>0.0010997897460779556</x:v>
      </x:c>
      <x:c r="L14" s="22" t="n">
        <x:v>0.0014798641436196021</x:v>
      </x:c>
      <x:c r="M14" s="22" t="n">
        <x:v>0.0007763221737020863</x:v>
      </x:c>
      <x:c r="N14" s="22" t="n">
        <x:v>0.0016092511725699498</x:v>
      </x:c>
      <x:c r="O14" s="22" t="n">
        <x:v>0.002854601326217047</x:v>
      </x:c>
      <x:c r="P14" s="22" t="n">
        <x:v>0.001851851851851852</x:v>
      </x:c>
      <x:c r="Q14" s="22" t="n">
        <x:v>0.006073103671356946</x:v>
      </x:c>
      <x:c r="R14" s="22" t="n">
        <x:v>0.003153808830664726</x:v>
      </x:c>
      <x:c r="S14" s="23" t="str">
        <x:v>PE000010</x:v>
      </x:c>
      <x:c r="T14" s="23" t="n">
        <x:v>123660</x:v>
      </x:c>
      <x:c r="U14" s="23" t="n">
        <x:f>SUM(H14:R14)</x:f>
        <x:v>0.03039786511402232</x:v>
      </x:c>
      <x:c r="V14" s="18" t="n">
        <x:f>ROUND(T14*U14,0)</x:f>
        <x:v>3759</x:v>
      </x:c>
      <x:c r="W14" s="18" t="str">
        <x:f>IF(ABS(G14-V14)&lt;=1,"OK","CHECK")</x:f>
        <x:v>OK</x:v>
      </x:c>
      <x:c r="X14" s="18" t="str">
        <x:f>IF(COUNTIF(ProductionReference!$A$5:$A$74,S14)=1,"OK","LINK ERROR")</x:f>
        <x:v>OK</x:v>
      </x:c>
      <x:c r="Y14" s="18" t="str">
        <x:f>IF(F14=INDEX(ProductionReference!$G$5:$G$74,MATCH(S14,ProductionReference!$A$5:$A$74,0)),"OK","CASE MISMATCH")</x:f>
        <x:v>OK</x:v>
      </x:c>
      <x:c r="Z14" s="18" t="str">
        <x:f>IF(COUNTIFS($A$5:$A$74,A14,$B$5:$B$74,B14,$C$5:$C$74,C14,$D$5:$D$74,D14,$E$5:$E$74,E14)=1,"OK","DUPLICATE")</x:f>
        <x:v>OK</x:v>
      </x:c>
    </x:row>
    <x:row r="15">
      <x:c r="A15" s="13" t="str">
        <x:v>KG01</x:v>
      </x:c>
      <x:c r="B15" s="13" t="n">
        <x:v>21</x:v>
      </x:c>
      <x:c r="C15" s="20" t="n">
        <x:v>45955</x:v>
      </x:c>
      <x:c r="D15" s="13" t="str">
        <x:v>AM</x:v>
      </x:c>
      <x:c r="E15" s="13" t="str">
        <x:v>ORD-2025-00021</x:v>
      </x:c>
      <x:c r="F15" s="13" t="str">
        <x:v>Trial</x:v>
      </x:c>
      <x:c r="G15" s="13" t="n">
        <x:v>14048</x:v>
      </x:c>
      <x:c r="H15" s="22" t="n">
        <x:v>0.00946016051756233</x:v>
      </x:c>
      <x:c r="I15" s="22" t="n">
        <x:v>0.020842869785467972</x:v>
      </x:c>
      <x:c r="J15" s="22" t="n">
        <x:v>0.007980103146266288</x:v>
      </x:c>
      <x:c r="K15" s="22" t="n">
        <x:v>0.00843022368702127</x:v>
      </x:c>
      <x:c r="L15" s="22" t="n">
        <x:v>0.00867435686166804</x:v>
      </x:c>
      <x:c r="M15" s="22" t="n">
        <x:v>0.00916262321096158</x:v>
      </x:c>
      <x:c r="N15" s="22" t="n">
        <x:v>0.005019988403674205</x:v>
      </x:c>
      <x:c r="O15" s="22" t="n">
        <x:v>0.0018004821630199274</x:v>
      </x:c>
      <x:c r="P15" s="22" t="n">
        <x:v>0.008002990631389423</x:v>
      </x:c>
      <x:c r="Q15" s="22" t="n">
        <x:v>0.023726692910982942</x:v>
      </x:c>
      <x:c r="R15" s="22" t="n">
        <x:v>0.004073972351917972</x:v>
      </x:c>
      <x:c r="S15" s="23" t="str">
        <x:v>PE000011</x:v>
      </x:c>
      <x:c r="T15" s="23" t="n">
        <x:v>131076</x:v>
      </x:c>
      <x:c r="U15" s="23" t="n">
        <x:f>SUM(H15:R15)</x:f>
        <x:v>0.10717446366993194</x:v>
      </x:c>
      <x:c r="V15" s="18" t="n">
        <x:f>ROUND(T15*U15,0)</x:f>
        <x:v>14048</x:v>
      </x:c>
      <x:c r="W15" s="18" t="str">
        <x:f>IF(ABS(G15-V15)&lt;=1,"OK","CHECK")</x:f>
        <x:v>OK</x:v>
      </x:c>
      <x:c r="X15" s="18" t="str">
        <x:f>IF(COUNTIF(ProductionReference!$A$5:$A$74,S15)=1,"OK","LINK ERROR")</x:f>
        <x:v>OK</x:v>
      </x:c>
      <x:c r="Y15" s="18" t="str">
        <x:f>IF(F15=INDEX(ProductionReference!$G$5:$G$74,MATCH(S15,ProductionReference!$A$5:$A$74,0)),"OK","CASE MISMATCH")</x:f>
        <x:v>OK</x:v>
      </x:c>
      <x:c r="Z15" s="18" t="str">
        <x:f>IF(COUNTIFS($A$5:$A$74,A15,$B$5:$B$74,B15,$C$5:$C$74,C15,$D$5:$D$74,D15,$E$5:$E$74,E15)=1,"OK","DUPLICATE")</x:f>
        <x:v>OK</x:v>
      </x:c>
    </x:row>
    <x:row r="16">
      <x:c r="A16" s="13" t="str">
        <x:v>KG01</x:v>
      </x:c>
      <x:c r="B16" s="13" t="n">
        <x:v>21</x:v>
      </x:c>
      <x:c r="C16" s="20" t="n">
        <x:v>45955</x:v>
      </x:c>
      <x:c r="D16" s="13" t="str">
        <x:v>PM</x:v>
      </x:c>
      <x:c r="E16" s="13" t="str">
        <x:v>ORD-2025-00021</x:v>
      </x:c>
      <x:c r="F16" s="13" t="str">
        <x:v>Normal</x:v>
      </x:c>
      <x:c r="G16" s="13" t="n">
        <x:v>13535</x:v>
      </x:c>
      <x:c r="H16" s="22" t="n">
        <x:v>0.003219813786824096</x:v>
      </x:c>
      <x:c r="I16" s="22" t="n">
        <x:v>0.01553734543425265</x:v>
      </x:c>
      <x:c r="J16" s="22" t="n">
        <x:v>0.004424031485887156</x:v>
      </x:c>
      <x:c r="K16" s="22" t="n">
        <x:v>0.0023900784210062562</x:v>
      </x:c>
      <x:c r="L16" s="22" t="n">
        <x:v>0.0022248656269274825</x:v>
      </x:c>
      <x:c r="M16" s="22" t="n">
        <x:v>0.0038292654272035717</x:v>
      </x:c>
      <x:c r="N16" s="22" t="n">
        <x:v>0.0034914970481980793</x:v>
      </x:c>
      <x:c r="O16" s="22" t="n">
        <x:v>0.0008774635063294857</x:v>
      </x:c>
      <x:c r="P16" s="22" t="n">
        <x:v>0.0026177049372925663</x:v>
      </x:c>
      <x:c r="Q16" s="22" t="n">
        <x:v>0.008561694128704438</x:v>
      </x:c>
      <x:c r="R16" s="22" t="n">
        <x:v>0.002518577260845302</x:v>
      </x:c>
      <x:c r="S16" s="23" t="str">
        <x:v>PE000012</x:v>
      </x:c>
      <x:c r="T16" s="23" t="n">
        <x:v>272376</x:v>
      </x:c>
      <x:c r="U16" s="23" t="n">
        <x:f>SUM(H16:R16)</x:f>
        <x:v>0.049692337063471086</x:v>
      </x:c>
      <x:c r="V16" s="18" t="n">
        <x:f>ROUND(T16*U16,0)</x:f>
        <x:v>13535</x:v>
      </x:c>
      <x:c r="W16" s="18" t="str">
        <x:f>IF(ABS(G16-V16)&lt;=1,"OK","CHECK")</x:f>
        <x:v>OK</x:v>
      </x:c>
      <x:c r="X16" s="18" t="str">
        <x:f>IF(COUNTIF(ProductionReference!$A$5:$A$74,S16)=1,"OK","LINK ERROR")</x:f>
        <x:v>OK</x:v>
      </x:c>
      <x:c r="Y16" s="18" t="str">
        <x:f>IF(F16=INDEX(ProductionReference!$G$5:$G$74,MATCH(S16,ProductionReference!$A$5:$A$74,0)),"OK","CASE MISMATCH")</x:f>
        <x:v>OK</x:v>
      </x:c>
      <x:c r="Z16" s="18" t="str">
        <x:f>IF(COUNTIFS($A$5:$A$74,A16,$B$5:$B$74,B16,$C$5:$C$74,C16,$D$5:$D$74,D16,$E$5:$E$74,E16)=1,"OK","DUPLICATE")</x:f>
        <x:v>OK</x:v>
      </x:c>
    </x:row>
    <x:row r="17">
      <x:c r="A17" s="13" t="str">
        <x:v>KG01</x:v>
      </x:c>
      <x:c r="B17" s="13" t="n">
        <x:v>21</x:v>
      </x:c>
      <x:c r="C17" s="20" t="n">
        <x:v>45956</x:v>
      </x:c>
      <x:c r="D17" s="13" t="str">
        <x:v>AM</x:v>
      </x:c>
      <x:c r="E17" s="13" t="str">
        <x:v>ORD-2025-00021</x:v>
      </x:c>
      <x:c r="F17" s="13" t="str">
        <x:v>Normal</x:v>
      </x:c>
      <x:c r="G17" s="13" t="n">
        <x:v>12922</x:v>
      </x:c>
      <x:c r="H17" s="22" t="n">
        <x:v>0.004621474087122942</x:v>
      </x:c>
      <x:c r="I17" s="22" t="n">
        <x:v>0.01491195638778336</x:v>
      </x:c>
      <x:c r="J17" s="22" t="n">
        <x:v>0.002849002849002849</x:v>
      </x:c>
      <x:c r="K17" s="22" t="n">
        <x:v>0.005824869692554171</x:v>
      </x:c>
      <x:c r="L17" s="22" t="n">
        <x:v>0.0007575592817323097</x:v>
      </x:c>
      <x:c r="M17" s="22" t="n">
        <x:v>0.0029468693590830996</x:v>
      </x:c>
      <x:c r="N17" s="22" t="n">
        <x:v>0.0009786651008025053</x:v>
      </x:c>
      <x:c r="O17" s="22" t="n">
        <x:v>0.0010982797242339228</x:v>
      </x:c>
      <x:c r="P17" s="22" t="n">
        <x:v>0.0017978440370297877</x:v>
      </x:c>
      <x:c r="Q17" s="22" t="n">
        <x:v>0.005368159312179668</x:v>
      </x:c>
      <x:c r="R17" s="22" t="n">
        <x:v>0.0056835069557715865</x:v>
      </x:c>
      <x:c r="S17" s="23" t="str">
        <x:v>PE000013</x:v>
      </x:c>
      <x:c r="T17" s="23" t="n">
        <x:v>275886</x:v>
      </x:c>
      <x:c r="U17" s="23" t="n">
        <x:f>SUM(H17:R17)</x:f>
        <x:v>0.046838186787296204</x:v>
      </x:c>
      <x:c r="V17" s="18" t="n">
        <x:f>ROUND(T17*U17,0)</x:f>
        <x:v>12922</x:v>
      </x:c>
      <x:c r="W17" s="18" t="str">
        <x:f>IF(ABS(G17-V17)&lt;=1,"OK","CHECK")</x:f>
        <x:v>OK</x:v>
      </x:c>
      <x:c r="X17" s="18" t="str">
        <x:f>IF(COUNTIF(ProductionReference!$A$5:$A$74,S17)=1,"OK","LINK ERROR")</x:f>
        <x:v>OK</x:v>
      </x:c>
      <x:c r="Y17" s="18" t="str">
        <x:f>IF(F17=INDEX(ProductionReference!$G$5:$G$74,MATCH(S17,ProductionReference!$A$5:$A$74,0)),"OK","CASE MISMATCH")</x:f>
        <x:v>OK</x:v>
      </x:c>
      <x:c r="Z17" s="18" t="str">
        <x:f>IF(COUNTIFS($A$5:$A$74,A17,$B$5:$B$74,B17,$C$5:$C$74,C17,$D$5:$D$74,D17,$E$5:$E$74,E17)=1,"OK","DUPLICATE")</x:f>
        <x:v>OK</x:v>
      </x:c>
    </x:row>
    <x:row r="18">
      <x:c r="A18" s="13" t="str">
        <x:v>KG01</x:v>
      </x:c>
      <x:c r="B18" s="13" t="n">
        <x:v>21</x:v>
      </x:c>
      <x:c r="C18" s="20" t="n">
        <x:v>45956</x:v>
      </x:c>
      <x:c r="D18" s="13" t="str">
        <x:v>PM</x:v>
      </x:c>
      <x:c r="E18" s="13" t="str">
        <x:v>ORD-2025-00021</x:v>
      </x:c>
      <x:c r="F18" s="13" t="str">
        <x:v>Normal</x:v>
      </x:c>
      <x:c r="G18" s="13" t="n">
        <x:v>10955</x:v>
      </x:c>
      <x:c r="H18" s="22" t="n">
        <x:v>0.008890479702662444</x:v>
      </x:c>
      <x:c r="I18" s="22" t="n">
        <x:v>0.005933012278189943</x:v>
      </x:c>
      <x:c r="J18" s="22" t="n">
        <x:v>0.0023211419150505445</x:v>
      </x:c>
      <x:c r="K18" s="22" t="n">
        <x:v>0.0022922180282586376</x:v>
      </x:c>
      <x:c r="L18" s="22" t="n">
        <x:v>0.001185879358468191</x:v>
      </x:c>
      <x:c r="M18" s="22" t="n">
        <x:v>0.0020789043631683226</x:v>
      </x:c>
      <x:c r="N18" s="22" t="n">
        <x:v>0.0020861353348662994</x:v>
      </x:c>
      <x:c r="O18" s="22" t="n">
        <x:v>0.002317526429201556</x:v>
      </x:c>
      <x:c r="P18" s="22" t="n">
        <x:v>0.004071037065960924</x:v>
      </x:c>
      <x:c r="Q18" s="22" t="n">
        <x:v>0.0045663586272723326</x:v>
      </x:c>
      <x:c r="R18" s="22" t="n">
        <x:v>0.0038649543725685857</x:v>
      </x:c>
      <x:c r="S18" s="23" t="str">
        <x:v>PE000014</x:v>
      </x:c>
      <x:c r="T18" s="23" t="n">
        <x:v>276588</x:v>
      </x:c>
      <x:c r="U18" s="23" t="n">
        <x:f>SUM(H18:R18)</x:f>
        <x:v>0.03960764747566778</x:v>
      </x:c>
      <x:c r="V18" s="18" t="n">
        <x:f>ROUND(T18*U18,0)</x:f>
        <x:v>10955</x:v>
      </x:c>
      <x:c r="W18" s="18" t="str">
        <x:f>IF(ABS(G18-V18)&lt;=1,"OK","CHECK")</x:f>
        <x:v>OK</x:v>
      </x:c>
      <x:c r="X18" s="18" t="str">
        <x:f>IF(COUNTIF(ProductionReference!$A$5:$A$74,S18)=1,"OK","LINK ERROR")</x:f>
        <x:v>OK</x:v>
      </x:c>
      <x:c r="Y18" s="18" t="str">
        <x:f>IF(F18=INDEX(ProductionReference!$G$5:$G$74,MATCH(S18,ProductionReference!$A$5:$A$74,0)),"OK","CASE MISMATCH")</x:f>
        <x:v>OK</x:v>
      </x:c>
      <x:c r="Z18" s="18" t="str">
        <x:f>IF(COUNTIFS($A$5:$A$74,A18,$B$5:$B$74,B18,$C$5:$C$74,C18,$D$5:$D$74,D18,$E$5:$E$74,E18)=1,"OK","DUPLICATE")</x:f>
        <x:v>OK</x:v>
      </x:c>
    </x:row>
    <x:row r="19">
      <x:c r="A19" s="13" t="str">
        <x:v>KG01</x:v>
      </x:c>
      <x:c r="B19" s="13" t="n">
        <x:v>22</x:v>
      </x:c>
      <x:c r="C19" s="20" t="n">
        <x:v>45950</x:v>
      </x:c>
      <x:c r="D19" s="13" t="str">
        <x:v>AM</x:v>
      </x:c>
      <x:c r="E19" s="13" t="str">
        <x:v>ORD-2025-00056</x:v>
      </x:c>
      <x:c r="F19" s="13" t="str">
        <x:v>Trial</x:v>
      </x:c>
      <x:c r="G19" s="13" t="n">
        <x:v>3024</x:v>
      </x:c>
      <x:c r="H19" s="22" t="n">
        <x:v>0.006696428571428571</x:v>
      </x:c>
      <x:c r="I19" s="22" t="n">
        <x:v>0.028980654761904763</x:v>
      </x:c>
      <x:c r="J19" s="22" t="n">
        <x:v>0.008444940476190476</x:v>
      </x:c>
      <x:c r="K19" s="22" t="n">
        <x:v>0.00584077380952381</x:v>
      </x:c>
      <x:c r="L19" s="22" t="n">
        <x:v>0.010193452380952381</x:v>
      </x:c>
      <x:c r="M19" s="22" t="n">
        <x:v>0.010193452380952381</x:v>
      </x:c>
      <x:c r="N19" s="22" t="n">
        <x:v>0.012574404761904762</x:v>
      </x:c>
      <x:c r="O19" s="22" t="n">
        <x:v>0.0015625</x:v>
      </x:c>
      <x:c r="P19" s="22" t="n">
        <x:v>0.012723214285714286</x:v>
      </x:c>
      <x:c r="Q19" s="22" t="n">
        <x:v>0.005654761904761905</x:v>
      </x:c>
      <x:c r="R19" s="22" t="n">
        <x:v>0.009635416666666667</x:v>
      </x:c>
      <x:c r="S19" s="23" t="str">
        <x:v>PE000015</x:v>
      </x:c>
      <x:c r="T19" s="23" t="n">
        <x:v>26880</x:v>
      </x:c>
      <x:c r="U19" s="23" t="n">
        <x:f>SUM(H19:R19)</x:f>
        <x:v>0.11249999999999999</x:v>
      </x:c>
      <x:c r="V19" s="18" t="n">
        <x:f>ROUND(T19*U19,0)</x:f>
        <x:v>3024</x:v>
      </x:c>
      <x:c r="W19" s="18" t="str">
        <x:f>IF(ABS(G19-V19)&lt;=1,"OK","CHECK")</x:f>
        <x:v>OK</x:v>
      </x:c>
      <x:c r="X19" s="18" t="str">
        <x:f>IF(COUNTIF(ProductionReference!$A$5:$A$74,S19)=1,"OK","LINK ERROR")</x:f>
        <x:v>OK</x:v>
      </x:c>
      <x:c r="Y19" s="18" t="str">
        <x:f>IF(F19=INDEX(ProductionReference!$G$5:$G$74,MATCH(S19,ProductionReference!$A$5:$A$74,0)),"OK","CASE MISMATCH")</x:f>
        <x:v>OK</x:v>
      </x:c>
      <x:c r="Z19" s="18" t="str">
        <x:f>IF(COUNTIFS($A$5:$A$74,A19,$B$5:$B$74,B19,$C$5:$C$74,C19,$D$5:$D$74,D19,$E$5:$E$74,E19)=1,"OK","DUPLICATE")</x:f>
        <x:v>OK</x:v>
      </x:c>
    </x:row>
    <x:row r="20">
      <x:c r="A20" s="13" t="str">
        <x:v>KG01</x:v>
      </x:c>
      <x:c r="B20" s="13" t="n">
        <x:v>22</x:v>
      </x:c>
      <x:c r="C20" s="20" t="n">
        <x:v>45950</x:v>
      </x:c>
      <x:c r="D20" s="13" t="str">
        <x:v>PM</x:v>
      </x:c>
      <x:c r="E20" s="13" t="str">
        <x:v>ORD-2025-00056</x:v>
      </x:c>
      <x:c r="F20" s="13" t="str">
        <x:v>Normal</x:v>
      </x:c>
      <x:c r="G20" s="13" t="n">
        <x:v>8503</x:v>
      </x:c>
      <x:c r="H20" s="22" t="n">
        <x:v>0.0063856470106470106</x:v>
      </x:c>
      <x:c r="I20" s="22" t="n">
        <x:v>0.010384674447174447</x:v>
      </x:c>
      <x:c r="J20" s="22" t="n">
        <x:v>0.0033527846027846028</x:v>
      </x:c>
      <x:c r="K20" s="22" t="n">
        <x:v>0.0036023239148239147</x:v>
      </x:c>
      <x:c r="L20" s="22" t="n">
        <x:v>0.005182739557739558</x:v>
      </x:c>
      <x:c r="M20" s="22" t="n">
        <x:v>0.00705748361998362</x:v>
      </x:c>
      <x:c r="N20" s="22" t="n">
        <x:v>0.0033655814905814907</x:v>
      </x:c>
      <x:c r="O20" s="22" t="n">
        <x:v>0.002463400900900901</x:v>
      </x:c>
      <x:c r="P20" s="22" t="n">
        <x:v>0.0025529791154791153</x:v>
      </x:c>
      <x:c r="Q20" s="22" t="n">
        <x:v>0.006852733415233415</x:v>
      </x:c>
      <x:c r="R20" s="22" t="n">
        <x:v>0.003205620393120393</x:v>
      </x:c>
      <x:c r="S20" s="23" t="str">
        <x:v>PE000016</x:v>
      </x:c>
      <x:c r="T20" s="23" t="n">
        <x:v>156288</x:v>
      </x:c>
      <x:c r="U20" s="23" t="n">
        <x:f>SUM(H20:R20)</x:f>
        <x:v>0.05440596846846847</x:v>
      </x:c>
      <x:c r="V20" s="18" t="n">
        <x:f>ROUND(T20*U20,0)</x:f>
        <x:v>8503</x:v>
      </x:c>
      <x:c r="W20" s="18" t="str">
        <x:f>IF(ABS(G20-V20)&lt;=1,"OK","CHECK")</x:f>
        <x:v>OK</x:v>
      </x:c>
      <x:c r="X20" s="18" t="str">
        <x:f>IF(COUNTIF(ProductionReference!$A$5:$A$74,S20)=1,"OK","LINK ERROR")</x:f>
        <x:v>OK</x:v>
      </x:c>
      <x:c r="Y20" s="18" t="str">
        <x:f>IF(F20=INDEX(ProductionReference!$G$5:$G$74,MATCH(S20,ProductionReference!$A$5:$A$74,0)),"OK","CASE MISMATCH")</x:f>
        <x:v>OK</x:v>
      </x:c>
      <x:c r="Z20" s="18" t="str">
        <x:f>IF(COUNTIFS($A$5:$A$74,A20,$B$5:$B$74,B20,$C$5:$C$74,C20,$D$5:$D$74,D20,$E$5:$E$74,E20)=1,"OK","DUPLICATE")</x:f>
        <x:v>OK</x:v>
      </x:c>
    </x:row>
    <x:row r="21">
      <x:c r="A21" s="13" t="str">
        <x:v>KG01</x:v>
      </x:c>
      <x:c r="B21" s="13" t="n">
        <x:v>22</x:v>
      </x:c>
      <x:c r="C21" s="20" t="n">
        <x:v>45951</x:v>
      </x:c>
      <x:c r="D21" s="13" t="str">
        <x:v>AM</x:v>
      </x:c>
      <x:c r="E21" s="13" t="str">
        <x:v>ORD-2025-00056</x:v>
      </x:c>
      <x:c r="F21" s="13" t="str">
        <x:v>Normal</x:v>
      </x:c>
      <x:c r="G21" s="13" t="n">
        <x:v>5551</x:v>
      </x:c>
      <x:c r="H21" s="22" t="n">
        <x:v>0.0056506849315068495</x:v>
      </x:c>
      <x:c r="I21" s="22" t="n">
        <x:v>0.008433219178082192</x:v>
      </x:c>
      <x:c r="J21" s="22" t="n">
        <x:v>0.004095319634703196</x:v>
      </x:c>
      <x:c r="K21" s="22" t="n">
        <x:v>0.0023901255707762556</x:v>
      </x:c>
      <x:c r="L21" s="22" t="n">
        <x:v>0.0027682648401826486</x:v>
      </x:c>
      <x:c r="M21" s="22" t="n">
        <x:v>0.0031035958904109587</x:v>
      </x:c>
      <x:c r="N21" s="22" t="n">
        <x:v>0.00430222602739726</x:v>
      </x:c>
      <x:c r="O21" s="22" t="n">
        <x:v>0.00018550228310502284</x:v>
      </x:c>
      <x:c r="P21" s="22" t="n">
        <x:v>0.0026184360730593607</x:v>
      </x:c>
      <x:c r="Q21" s="22" t="n">
        <x:v>0.003132134703196347</x:v>
      </x:c>
      <x:c r="R21" s="22" t="n">
        <x:v>0.002925228310502283</x:v>
      </x:c>
      <x:c r="S21" s="23" t="str">
        <x:v>PE000017</x:v>
      </x:c>
      <x:c r="T21" s="23" t="n">
        <x:v>140160</x:v>
      </x:c>
      <x:c r="U21" s="23" t="n">
        <x:f>SUM(H21:R21)</x:f>
        <x:v>0.03960473744292238</x:v>
      </x:c>
      <x:c r="V21" s="18" t="n">
        <x:f>ROUND(T21*U21,0)</x:f>
        <x:v>5551</x:v>
      </x:c>
      <x:c r="W21" s="18" t="str">
        <x:f>IF(ABS(G21-V21)&lt;=1,"OK","CHECK")</x:f>
        <x:v>OK</x:v>
      </x:c>
      <x:c r="X21" s="18" t="str">
        <x:f>IF(COUNTIF(ProductionReference!$A$5:$A$74,S21)=1,"OK","LINK ERROR")</x:f>
        <x:v>OK</x:v>
      </x:c>
      <x:c r="Y21" s="18" t="str">
        <x:f>IF(F21=INDEX(ProductionReference!$G$5:$G$74,MATCH(S21,ProductionReference!$A$5:$A$74,0)),"OK","CASE MISMATCH")</x:f>
        <x:v>OK</x:v>
      </x:c>
      <x:c r="Z21" s="18" t="str">
        <x:f>IF(COUNTIFS($A$5:$A$74,A21,$B$5:$B$74,B21,$C$5:$C$74,C21,$D$5:$D$74,D21,$E$5:$E$74,E21)=1,"OK","DUPLICATE")</x:f>
        <x:v>OK</x:v>
      </x:c>
    </x:row>
    <x:row r="22">
      <x:c r="A22" s="13" t="str">
        <x:v>KG01</x:v>
      </x:c>
      <x:c r="B22" s="13" t="n">
        <x:v>22</x:v>
      </x:c>
      <x:c r="C22" s="20" t="n">
        <x:v>45951</x:v>
      </x:c>
      <x:c r="D22" s="13" t="str">
        <x:v>PM</x:v>
      </x:c>
      <x:c r="E22" s="13" t="str">
        <x:v>ORD-2025-00056</x:v>
      </x:c>
      <x:c r="F22" s="13" t="str">
        <x:v>Normal</x:v>
      </x:c>
      <x:c r="G22" s="13" t="n">
        <x:v>6335</x:v>
      </x:c>
      <x:c r="H22" s="22" t="n">
        <x:v>0.003039469893402478</x:v>
      </x:c>
      <x:c r="I22" s="22" t="n">
        <x:v>0.012676462114664363</x:v>
      </x:c>
      <x:c r="J22" s="22" t="n">
        <x:v>0.008131662345145492</x:v>
      </x:c>
      <x:c r="K22" s="22" t="n">
        <x:v>0.0013036588879285509</x:v>
      </x:c>
      <x:c r="L22" s="22" t="n">
        <x:v>0.002362431575914722</x:v>
      </x:c>
      <x:c r="M22" s="22" t="n">
        <x:v>0.0013468740996830885</x:v>
      </x:c>
      <x:c r="N22" s="22" t="n">
        <x:v>0.002002304811293575</x:v>
      </x:c>
      <x:c r="O22" s="22" t="n">
        <x:v>0.0023264188994526072</x:v>
      </x:c>
      <x:c r="P22" s="22" t="n">
        <x:v>0.00473926822241429</x:v>
      </x:c>
      <x:c r="Q22" s="22" t="n">
        <x:v>0.004904926534140017</x:v>
      </x:c>
      <x:c r="R22" s="22" t="n">
        <x:v>0.002794583693460098</x:v>
      </x:c>
      <x:c r="S22" s="23" t="str">
        <x:v>PE000018</x:v>
      </x:c>
      <x:c r="T22" s="23" t="n">
        <x:v>138840</x:v>
      </x:c>
      <x:c r="U22" s="23" t="n">
        <x:f>SUM(H22:R22)</x:f>
        <x:v>0.04562806107749928</x:v>
      </x:c>
      <x:c r="V22" s="18" t="n">
        <x:f>ROUND(T22*U22,0)</x:f>
        <x:v>6335</x:v>
      </x:c>
      <x:c r="W22" s="18" t="str">
        <x:f>IF(ABS(G22-V22)&lt;=1,"OK","CHECK")</x:f>
        <x:v>OK</x:v>
      </x:c>
      <x:c r="X22" s="18" t="str">
        <x:f>IF(COUNTIF(ProductionReference!$A$5:$A$74,S22)=1,"OK","LINK ERROR")</x:f>
        <x:v>OK</x:v>
      </x:c>
      <x:c r="Y22" s="18" t="str">
        <x:f>IF(F22=INDEX(ProductionReference!$G$5:$G$74,MATCH(S22,ProductionReference!$A$5:$A$74,0)),"OK","CASE MISMATCH")</x:f>
        <x:v>OK</x:v>
      </x:c>
      <x:c r="Z22" s="18" t="str">
        <x:f>IF(COUNTIFS($A$5:$A$74,A22,$B$5:$B$74,B22,$C$5:$C$74,C22,$D$5:$D$74,D22,$E$5:$E$74,E22)=1,"OK","DUPLICATE")</x:f>
        <x:v>OK</x:v>
      </x:c>
    </x:row>
    <x:row r="23">
      <x:c r="A23" s="13" t="str">
        <x:v>KG01</x:v>
      </x:c>
      <x:c r="B23" s="13" t="n">
        <x:v>22</x:v>
      </x:c>
      <x:c r="C23" s="20" t="n">
        <x:v>45952</x:v>
      </x:c>
      <x:c r="D23" s="13" t="str">
        <x:v>AM</x:v>
      </x:c>
      <x:c r="E23" s="13" t="str">
        <x:v>ORD-2025-00057</x:v>
      </x:c>
      <x:c r="F23" s="13" t="str">
        <x:v>Normal</x:v>
      </x:c>
      <x:c r="G23" s="13" t="n">
        <x:v>7192</x:v>
      </x:c>
      <x:c r="H23" s="22" t="n">
        <x:v>0.008285017267053196</x:v>
      </x:c>
      <x:c r="I23" s="22" t="n">
        <x:v>0.010193897918448817</x:v>
      </x:c>
      <x:c r="J23" s="22" t="n">
        <x:v>0.004799923961600608</x:v>
      </x:c>
      <x:c r="K23" s="22" t="n">
        <x:v>0.004712796628964294</x:v>
      </x:c>
      <x:c r="L23" s="22" t="n">
        <x:v>0.006978107277508475</x:v>
      </x:c>
      <x:c r="M23" s="22" t="n">
        <x:v>0.0033346006399898615</x:v>
      </x:c>
      <x:c r="N23" s="22" t="n">
        <x:v>0.0007920666603301334</x:v>
      </x:c>
      <x:c r="O23" s="22" t="n">
        <x:v>0.002700947311725755</x:v>
      </x:c>
      <x:c r="P23" s="22" t="n">
        <x:v>0.002368279314387099</x:v>
      </x:c>
      <x:c r="Q23" s="22" t="n">
        <x:v>0.010288945917688433</x:v>
      </x:c>
      <x:c r="R23" s="22" t="n">
        <x:v>0.0025108513132465226</x:v>
      </x:c>
      <x:c r="S23" s="23" t="str">
        <x:v>PE000019</x:v>
      </x:c>
      <x:c r="T23" s="23" t="n">
        <x:v>126252</x:v>
      </x:c>
      <x:c r="U23" s="23" t="n">
        <x:f>SUM(H23:R23)</x:f>
        <x:v>0.05696543421094319</x:v>
      </x:c>
      <x:c r="V23" s="18" t="n">
        <x:f>ROUND(T23*U23,0)</x:f>
        <x:v>7192</x:v>
      </x:c>
      <x:c r="W23" s="18" t="str">
        <x:f>IF(ABS(G23-V23)&lt;=1,"OK","CHECK")</x:f>
        <x:v>OK</x:v>
      </x:c>
      <x:c r="X23" s="18" t="str">
        <x:f>IF(COUNTIF(ProductionReference!$A$5:$A$74,S23)=1,"OK","LINK ERROR")</x:f>
        <x:v>OK</x:v>
      </x:c>
      <x:c r="Y23" s="18" t="str">
        <x:f>IF(F23=INDEX(ProductionReference!$G$5:$G$74,MATCH(S23,ProductionReference!$A$5:$A$74,0)),"OK","CASE MISMATCH")</x:f>
        <x:v>OK</x:v>
      </x:c>
      <x:c r="Z23" s="18" t="str">
        <x:f>IF(COUNTIFS($A$5:$A$74,A23,$B$5:$B$74,B23,$C$5:$C$74,C23,$D$5:$D$74,D23,$E$5:$E$74,E23)=1,"OK","DUPLICATE")</x:f>
        <x:v>OK</x:v>
      </x:c>
    </x:row>
    <x:row r="24">
      <x:c r="A24" s="13" t="str">
        <x:v>KG01</x:v>
      </x:c>
      <x:c r="B24" s="13" t="n">
        <x:v>22</x:v>
      </x:c>
      <x:c r="C24" s="20" t="n">
        <x:v>45952</x:v>
      </x:c>
      <x:c r="D24" s="13" t="str">
        <x:v>PM</x:v>
      </x:c>
      <x:c r="E24" s="13" t="str">
        <x:v>ORD-2025-00057</x:v>
      </x:c>
      <x:c r="F24" s="13" t="str">
        <x:v>Normal</x:v>
      </x:c>
      <x:c r="G24" s="13" t="n">
        <x:v>5375</x:v>
      </x:c>
      <x:c r="H24" s="22" t="n">
        <x:v>0.005053344867358708</x:v>
      </x:c>
      <x:c r="I24" s="22" t="n">
        <x:v>0.008600057670126874</x:v>
      </x:c>
      <x:c r="J24" s="22" t="n">
        <x:v>0.004022491349480969</x:v>
      </x:c>
      <x:c r="K24" s="22" t="n">
        <x:v>0.0012399077277970012</x:v>
      </x:c>
      <x:c r="L24" s="22" t="n">
        <x:v>0.005810265282583622</x:v>
      </x:c>
      <x:c r="M24" s="22" t="n">
        <x:v>0.0024149365628604383</x:v>
      </x:c>
      <x:c r="N24" s="22" t="n">
        <x:v>0.0010308535178777394</x:v>
      </x:c>
      <x:c r="O24" s="22" t="n">
        <x:v>0.0011101499423298731</x:v>
      </x:c>
      <x:c r="P24" s="22" t="n">
        <x:v>0.0012038638985005768</x:v>
      </x:c>
      <x:c r="Q24" s="22" t="n">
        <x:v>0.005320069204152249</x:v>
      </x:c>
      <x:c r="R24" s="22" t="n">
        <x:v>0.0029411764705882353</x:v>
      </x:c>
      <x:c r="S24" s="23" t="str">
        <x:v>PE000020</x:v>
      </x:c>
      <x:c r="T24" s="23" t="n">
        <x:v>138720</x:v>
      </x:c>
      <x:c r="U24" s="23" t="n">
        <x:f>SUM(H24:R24)</x:f>
        <x:v>0.03874711649365628</x:v>
      </x:c>
      <x:c r="V24" s="18" t="n">
        <x:f>ROUND(T24*U24,0)</x:f>
        <x:v>5375</x:v>
      </x:c>
      <x:c r="W24" s="18" t="str">
        <x:f>IF(ABS(G24-V24)&lt;=1,"OK","CHECK")</x:f>
        <x:v>OK</x:v>
      </x:c>
      <x:c r="X24" s="18" t="str">
        <x:f>IF(COUNTIF(ProductionReference!$A$5:$A$74,S24)=1,"OK","LINK ERROR")</x:f>
        <x:v>OK</x:v>
      </x:c>
      <x:c r="Y24" s="18" t="str">
        <x:f>IF(F24=INDEX(ProductionReference!$G$5:$G$74,MATCH(S24,ProductionReference!$A$5:$A$74,0)),"OK","CASE MISMATCH")</x:f>
        <x:v>OK</x:v>
      </x:c>
      <x:c r="Z24" s="18" t="str">
        <x:f>IF(COUNTIFS($A$5:$A$74,A24,$B$5:$B$74,B24,$C$5:$C$74,C24,$D$5:$D$74,D24,$E$5:$E$74,E24)=1,"OK","DUPLICATE")</x:f>
        <x:v>OK</x:v>
      </x:c>
    </x:row>
    <x:row r="25">
      <x:c r="A25" s="13" t="str">
        <x:v>KG01</x:v>
      </x:c>
      <x:c r="B25" s="13" t="n">
        <x:v>22</x:v>
      </x:c>
      <x:c r="C25" s="20" t="n">
        <x:v>45953</x:v>
      </x:c>
      <x:c r="D25" s="13" t="str">
        <x:v>AM</x:v>
      </x:c>
      <x:c r="E25" s="13" t="str">
        <x:v>ORD-2025-00057</x:v>
      </x:c>
      <x:c r="F25" s="13" t="str">
        <x:v>Normal</x:v>
      </x:c>
      <x:c r="G25" s="13" t="n">
        <x:v>6927</x:v>
      </x:c>
      <x:c r="H25" s="22" t="n">
        <x:v>0.004864672364672365</x:v>
      </x:c>
      <x:c r="I25" s="22" t="n">
        <x:v>0.013482905982905982</x:v>
      </x:c>
      <x:c r="J25" s="22" t="n">
        <x:v>0.0040028490028490024</x:v>
      </x:c>
      <x:c r="K25" s="22" t="n">
        <x:v>0.005270655270655271</x:v>
      </x:c>
      <x:c r="L25" s="22" t="n">
        <x:v>0.005391737891737892</x:v>
      </x:c>
      <x:c r="M25" s="22" t="n">
        <x:v>0.002905982905982906</x:v>
      </x:c>
      <x:c r="N25" s="22" t="n">
        <x:v>0.002492877492877493</x:v>
      </x:c>
      <x:c r="O25" s="22" t="n">
        <x:v>0.001745014245014245</x:v>
      </x:c>
      <x:c r="P25" s="22" t="n">
        <x:v>0.0012037037037037038</x:v>
      </x:c>
      <x:c r="Q25" s="22" t="n">
        <x:v>0.004715099715099715</x:v>
      </x:c>
      <x:c r="R25" s="22" t="n">
        <x:v>0.0032621082621082623</x:v>
      </x:c>
      <x:c r="S25" s="23" t="str">
        <x:v>PE000021</x:v>
      </x:c>
      <x:c r="T25" s="23" t="n">
        <x:v>140400</x:v>
      </x:c>
      <x:c r="U25" s="23" t="n">
        <x:f>SUM(H25:R25)</x:f>
        <x:v>0.04933760683760685</x:v>
      </x:c>
      <x:c r="V25" s="18" t="n">
        <x:f>ROUND(T25*U25,0)</x:f>
        <x:v>6927</x:v>
      </x:c>
      <x:c r="W25" s="18" t="str">
        <x:f>IF(ABS(G25-V25)&lt;=1,"OK","CHECK")</x:f>
        <x:v>OK</x:v>
      </x:c>
      <x:c r="X25" s="18" t="str">
        <x:f>IF(COUNTIF(ProductionReference!$A$5:$A$74,S25)=1,"OK","LINK ERROR")</x:f>
        <x:v>OK</x:v>
      </x:c>
      <x:c r="Y25" s="18" t="str">
        <x:f>IF(F25=INDEX(ProductionReference!$G$5:$G$74,MATCH(S25,ProductionReference!$A$5:$A$74,0)),"OK","CASE MISMATCH")</x:f>
        <x:v>OK</x:v>
      </x:c>
      <x:c r="Z25" s="18" t="str">
        <x:f>IF(COUNTIFS($A$5:$A$74,A25,$B$5:$B$74,B25,$C$5:$C$74,C25,$D$5:$D$74,D25,$E$5:$E$74,E25)=1,"OK","DUPLICATE")</x:f>
        <x:v>OK</x:v>
      </x:c>
    </x:row>
    <x:row r="26">
      <x:c r="A26" s="13" t="str">
        <x:v>KG01</x:v>
      </x:c>
      <x:c r="B26" s="13" t="n">
        <x:v>22</x:v>
      </x:c>
      <x:c r="C26" s="20" t="n">
        <x:v>45953</x:v>
      </x:c>
      <x:c r="D26" s="13" t="str">
        <x:v>PM</x:v>
      </x:c>
      <x:c r="E26" s="13" t="str">
        <x:v>ORD-2025-00057</x:v>
      </x:c>
      <x:c r="F26" s="13" t="str">
        <x:v>Normal</x:v>
      </x:c>
      <x:c r="G26" s="13" t="n">
        <x:v>8020</x:v>
      </x:c>
      <x:c r="H26" s="22" t="n">
        <x:v>0.00819173038799207</x:v>
      </x:c>
      <x:c r="I26" s="22" t="n">
        <x:v>0.012022090059473236</x:v>
      </x:c>
      <x:c r="J26" s="22" t="n">
        <x:v>0.0036037949589351457</x:v>
      </x:c>
      <x:c r="K26" s="22" t="n">
        <x:v>0.002470971396205041</x:v>
      </x:c>
      <x:c r="L26" s="22" t="n">
        <x:v>0.004269328802039082</x:v>
      </x:c>
      <x:c r="M26" s="22" t="n">
        <x:v>0.0029453412630982725</x:v>
      </x:c>
      <x:c r="N26" s="22" t="n">
        <x:v>0.005416312659303314</x:v>
      </x:c>
      <x:c r="O26" s="22" t="n">
        <x:v>0.004311809685641461</x:v>
      </x:c>
      <x:c r="P26" s="22" t="n">
        <x:v>0.0028532993486264516</x:v>
      </x:c>
      <x:c r="Q26" s="22" t="n">
        <x:v>0.00830501274426508</x:v>
      </x:c>
      <x:c r="R26" s="22" t="n">
        <x:v>0.0023930897762673466</x:v>
      </x:c>
      <x:c r="S26" s="23" t="str">
        <x:v>PE000022</x:v>
      </x:c>
      <x:c r="T26" s="23" t="n">
        <x:v>141240</x:v>
      </x:c>
      <x:c r="U26" s="23" t="n">
        <x:f>SUM(H26:R26)</x:f>
        <x:v>0.05678278108184649</x:v>
      </x:c>
      <x:c r="V26" s="18" t="n">
        <x:f>ROUND(T26*U26,0)</x:f>
        <x:v>8020</x:v>
      </x:c>
      <x:c r="W26" s="18" t="str">
        <x:f>IF(ABS(G26-V26)&lt;=1,"OK","CHECK")</x:f>
        <x:v>OK</x:v>
      </x:c>
      <x:c r="X26" s="18" t="str">
        <x:f>IF(COUNTIF(ProductionReference!$A$5:$A$74,S26)=1,"OK","LINK ERROR")</x:f>
        <x:v>OK</x:v>
      </x:c>
      <x:c r="Y26" s="18" t="str">
        <x:f>IF(F26=INDEX(ProductionReference!$G$5:$G$74,MATCH(S26,ProductionReference!$A$5:$A$74,0)),"OK","CASE MISMATCH")</x:f>
        <x:v>OK</x:v>
      </x:c>
      <x:c r="Z26" s="18" t="str">
        <x:f>IF(COUNTIFS($A$5:$A$74,A26,$B$5:$B$74,B26,$C$5:$C$74,C26,$D$5:$D$74,D26,$E$5:$E$74,E26)=1,"OK","DUPLICATE")</x:f>
        <x:v>OK</x:v>
      </x:c>
    </x:row>
    <x:row r="27">
      <x:c r="A27" s="13" t="str">
        <x:v>KG01</x:v>
      </x:c>
      <x:c r="B27" s="13" t="n">
        <x:v>22</x:v>
      </x:c>
      <x:c r="C27" s="20" t="n">
        <x:v>45954</x:v>
      </x:c>
      <x:c r="D27" s="13" t="str">
        <x:v>AM</x:v>
      </x:c>
      <x:c r="E27" s="13" t="str">
        <x:v>ORD-2025-00057</x:v>
      </x:c>
      <x:c r="F27" s="13" t="str">
        <x:v>Normal</x:v>
      </x:c>
      <x:c r="G27" s="13" t="n">
        <x:v>5092</x:v>
      </x:c>
      <x:c r="H27" s="22" t="n">
        <x:v>0.004304964539007092</x:v>
      </x:c>
      <x:c r="I27" s="22" t="n">
        <x:v>0.010085106382978723</x:v>
      </x:c>
      <x:c r="J27" s="22" t="n">
        <x:v>0.0005673758865248227</x:v>
      </x:c>
      <x:c r="K27" s="22" t="n">
        <x:v>0.001950354609929078</x:v>
      </x:c>
      <x:c r="L27" s="22" t="n">
        <x:v>0.0031843971631205672</x:v>
      </x:c>
      <x:c r="M27" s="22" t="n">
        <x:v>0.004021276595744681</x:v>
      </x:c>
      <x:c r="N27" s="22" t="n">
        <x:v>0.00023404255319148937</x:v>
      </x:c>
      <x:c r="O27" s="22" t="n">
        <x:v>0.001078014184397163</x:v>
      </x:c>
      <x:c r="P27" s="22" t="n">
        <x:v>0.002021276595744681</x:v>
      </x:c>
      <x:c r="Q27" s="22" t="n">
        <x:v>0.006695035460992908</x:v>
      </x:c>
      <x:c r="R27" s="22" t="n">
        <x:v>0.001971631205673759</x:v>
      </x:c>
      <x:c r="S27" s="23" t="str">
        <x:v>PE000023</x:v>
      </x:c>
      <x:c r="T27" s="23" t="n">
        <x:v>141000</x:v>
      </x:c>
      <x:c r="U27" s="23" t="n">
        <x:f>SUM(H27:R27)</x:f>
        <x:v>0.03611347517730496</x:v>
      </x:c>
      <x:c r="V27" s="18" t="n">
        <x:f>ROUND(T27*U27,0)</x:f>
        <x:v>5092</x:v>
      </x:c>
      <x:c r="W27" s="18" t="str">
        <x:f>IF(ABS(G27-V27)&lt;=1,"OK","CHECK")</x:f>
        <x:v>OK</x:v>
      </x:c>
      <x:c r="X27" s="18" t="str">
        <x:f>IF(COUNTIF(ProductionReference!$A$5:$A$74,S27)=1,"OK","LINK ERROR")</x:f>
        <x:v>OK</x:v>
      </x:c>
      <x:c r="Y27" s="18" t="str">
        <x:f>IF(F27=INDEX(ProductionReference!$G$5:$G$74,MATCH(S27,ProductionReference!$A$5:$A$74,0)),"OK","CASE MISMATCH")</x:f>
        <x:v>OK</x:v>
      </x:c>
      <x:c r="Z27" s="18" t="str">
        <x:f>IF(COUNTIFS($A$5:$A$74,A27,$B$5:$B$74,B27,$C$5:$C$74,C27,$D$5:$D$74,D27,$E$5:$E$74,E27)=1,"OK","DUPLICATE")</x:f>
        <x:v>OK</x:v>
      </x:c>
    </x:row>
    <x:row r="28">
      <x:c r="A28" s="13" t="str">
        <x:v>KG01</x:v>
      </x:c>
      <x:c r="B28" s="13" t="n">
        <x:v>22</x:v>
      </x:c>
      <x:c r="C28" s="20" t="n">
        <x:v>45954</x:v>
      </x:c>
      <x:c r="D28" s="13" t="str">
        <x:v>PM</x:v>
      </x:c>
      <x:c r="E28" s="13" t="str">
        <x:v>ORD-2025-00057</x:v>
      </x:c>
      <x:c r="F28" s="13" t="str">
        <x:v>Normal</x:v>
      </x:c>
      <x:c r="G28" s="13" t="n">
        <x:v>5309</x:v>
      </x:c>
      <x:c r="H28" s="22" t="n">
        <x:v>0.006434669459519502</x:v>
      </x:c>
      <x:c r="I28" s="22" t="n">
        <x:v>0.01030657907264591</x:v>
      </x:c>
      <x:c r="J28" s="22" t="n">
        <x:v>0.0037290932749373196</x:v>
      </x:c>
      <x:c r="K28" s="22" t="n">
        <x:v>0.0015471769970484624</x:v>
      </x:c>
      <x:c r="L28" s="22" t="n">
        <x:v>0.003403789393506617</x:v>
      </x:c>
      <x:c r="M28" s="22" t="n">
        <x:v>0.0013964264178488687</x:v>
      </x:c>
      <x:c r="N28" s="22" t="n">
        <x:v>0.0007616871370084737</x:v>
      </x:c>
      <x:c r="O28" s="22" t="n">
        <x:v>0.00122187311561776</x:v>
      </x:c>
      <x:c r="P28" s="22" t="n">
        <x:v>0.0030150115839918754</x:v>
      </x:c>
      <x:c r="Q28" s="22" t="n">
        <x:v>0.006363261290424958</x:v>
      </x:c>
      <x:c r="R28" s="22" t="n">
        <x:v>0.003943317782220953</x:v>
      </x:c>
      <x:c r="S28" s="23" t="str">
        <x:v>PE000024</x:v>
      </x:c>
      <x:c r="T28" s="23" t="n">
        <x:v>126036</x:v>
      </x:c>
      <x:c r="U28" s="23" t="n">
        <x:f>SUM(H28:R28)</x:f>
        <x:v>0.0421228855247707</x:v>
      </x:c>
      <x:c r="V28" s="18" t="n">
        <x:f>ROUND(T28*U28,0)</x:f>
        <x:v>5309</x:v>
      </x:c>
      <x:c r="W28" s="18" t="str">
        <x:f>IF(ABS(G28-V28)&lt;=1,"OK","CHECK")</x:f>
        <x:v>OK</x:v>
      </x:c>
      <x:c r="X28" s="18" t="str">
        <x:f>IF(COUNTIF(ProductionReference!$A$5:$A$74,S28)=1,"OK","LINK ERROR")</x:f>
        <x:v>OK</x:v>
      </x:c>
      <x:c r="Y28" s="18" t="str">
        <x:f>IF(F28=INDEX(ProductionReference!$G$5:$G$74,MATCH(S28,ProductionReference!$A$5:$A$74,0)),"OK","CASE MISMATCH")</x:f>
        <x:v>OK</x:v>
      </x:c>
      <x:c r="Z28" s="18" t="str">
        <x:f>IF(COUNTIFS($A$5:$A$74,A28,$B$5:$B$74,B28,$C$5:$C$74,C28,$D$5:$D$74,D28,$E$5:$E$74,E28)=1,"OK","DUPLICATE")</x:f>
        <x:v>OK</x:v>
      </x:c>
    </x:row>
    <x:row r="29">
      <x:c r="A29" s="13" t="str">
        <x:v>KG01</x:v>
      </x:c>
      <x:c r="B29" s="13" t="n">
        <x:v>22</x:v>
      </x:c>
      <x:c r="C29" s="20" t="n">
        <x:v>45955</x:v>
      </x:c>
      <x:c r="D29" s="13" t="str">
        <x:v>AM</x:v>
      </x:c>
      <x:c r="E29" s="13" t="str">
        <x:v>ORD-2025-00057</x:v>
      </x:c>
      <x:c r="F29" s="13" t="str">
        <x:v>Normal</x:v>
      </x:c>
      <x:c r="G29" s="13" t="n">
        <x:v>6188</x:v>
      </x:c>
      <x:c r="H29" s="22" t="n">
        <x:v>0.005260196905766526</x:v>
      </x:c>
      <x:c r="I29" s="22" t="n">
        <x:v>0.008987341772151899</x:v>
      </x:c>
      <x:c r="J29" s="22" t="n">
        <x:v>0.005126582278481013</x:v>
      </x:c>
      <x:c r="K29" s="22" t="n">
        <x:v>0.0031082981715893107</x:v>
      </x:c>
      <x:c r="L29" s="22" t="n">
        <x:v>0.004838255977496484</x:v>
      </x:c>
      <x:c r="M29" s="22" t="n">
        <x:v>0.00220112517580872</x:v>
      </x:c>
      <x:c r="N29" s="22" t="n">
        <x:v>0.0026652601969057665</x:v>
      </x:c>
      <x:c r="O29" s="22" t="n">
        <x:v>0.0014627285513361462</x:v>
      </x:c>
      <x:c r="P29" s="22" t="n">
        <x:v>0.003628691983122363</x:v>
      </x:c>
      <x:c r="Q29" s="22" t="n">
        <x:v>0.005239099859353024</x:v>
      </x:c>
      <x:c r="R29" s="22" t="n">
        <x:v>0.0009985935302391</x:v>
      </x:c>
      <x:c r="S29" s="23" t="str">
        <x:v>PE000025</x:v>
      </x:c>
      <x:c r="T29" s="23" t="n">
        <x:v>142200</x:v>
      </x:c>
      <x:c r="U29" s="23" t="n">
        <x:f>SUM(H29:R29)</x:f>
        <x:v>0.043516174402250356</x:v>
      </x:c>
      <x:c r="V29" s="18" t="n">
        <x:f>ROUND(T29*U29,0)</x:f>
        <x:v>6188</x:v>
      </x:c>
      <x:c r="W29" s="18" t="str">
        <x:f>IF(ABS(G29-V29)&lt;=1,"OK","CHECK")</x:f>
        <x:v>OK</x:v>
      </x:c>
      <x:c r="X29" s="18" t="str">
        <x:f>IF(COUNTIF(ProductionReference!$A$5:$A$74,S29)=1,"OK","LINK ERROR")</x:f>
        <x:v>OK</x:v>
      </x:c>
      <x:c r="Y29" s="18" t="str">
        <x:f>IF(F29=INDEX(ProductionReference!$G$5:$G$74,MATCH(S29,ProductionReference!$A$5:$A$74,0)),"OK","CASE MISMATCH")</x:f>
        <x:v>OK</x:v>
      </x:c>
      <x:c r="Z29" s="18" t="str">
        <x:f>IF(COUNTIFS($A$5:$A$74,A29,$B$5:$B$74,B29,$C$5:$C$74,C29,$D$5:$D$74,D29,$E$5:$E$74,E29)=1,"OK","DUPLICATE")</x:f>
        <x:v>OK</x:v>
      </x:c>
    </x:row>
    <x:row r="30">
      <x:c r="A30" s="13" t="str">
        <x:v>KG01</x:v>
      </x:c>
      <x:c r="B30" s="13" t="n">
        <x:v>22</x:v>
      </x:c>
      <x:c r="C30" s="20" t="n">
        <x:v>45955</x:v>
      </x:c>
      <x:c r="D30" s="13" t="str">
        <x:v>PM</x:v>
      </x:c>
      <x:c r="E30" s="13" t="str">
        <x:v>ORD-2025-00057</x:v>
      </x:c>
      <x:c r="F30" s="13" t="str">
        <x:v>Normal</x:v>
      </x:c>
      <x:c r="G30" s="13" t="n">
        <x:v>5745</x:v>
      </x:c>
      <x:c r="H30" s="22" t="n">
        <x:v>0.004889865576888477</x:v>
      </x:c>
      <x:c r="I30" s="22" t="n">
        <x:v>0.0056288071555247125</x:v>
      </x:c>
      <x:c r="J30" s="22" t="n">
        <x:v>0.0026409129462564578</x:v>
      </x:c>
      <x:c r="K30" s="22" t="n">
        <x:v>0.004073817050916287</x:v>
      </x:c>
      <x:c r="L30" s="22" t="n">
        <x:v>0.006110725576374432</x:v>
      </x:c>
      <x:c r="M30" s="22" t="n">
        <x:v>0.0019855038939008405</x:v>
      </x:c>
      <x:c r="N30" s="22" t="n">
        <x:v>0.0006811113681342689</x:v>
      </x:c>
      <x:c r="O30" s="22" t="n">
        <x:v>0.0008738787364741563</x:v>
      </x:c>
      <x:c r="P30" s="22" t="n">
        <x:v>0.0023003572621893235</x:v>
      </x:c>
      <x:c r="Q30" s="22" t="n">
        <x:v>0.001869843472896908</x:v>
      </x:c>
      <x:c r="R30" s="22" t="n">
        <x:v>0.005860127997532578</x:v>
      </x:c>
      <x:c r="S30" s="23" t="str">
        <x:v>PE000026</x:v>
      </x:c>
      <x:c r="T30" s="23" t="n">
        <x:v>155628</x:v>
      </x:c>
      <x:c r="U30" s="23" t="n">
        <x:f>SUM(H30:R30)</x:f>
        <x:v>0.036914951037088445</x:v>
      </x:c>
      <x:c r="V30" s="18" t="n">
        <x:f>ROUND(T30*U30,0)</x:f>
        <x:v>5745</x:v>
      </x:c>
      <x:c r="W30" s="18" t="str">
        <x:f>IF(ABS(G30-V30)&lt;=1,"OK","CHECK")</x:f>
        <x:v>OK</x:v>
      </x:c>
      <x:c r="X30" s="18" t="str">
        <x:f>IF(COUNTIF(ProductionReference!$A$5:$A$74,S30)=1,"OK","LINK ERROR")</x:f>
        <x:v>OK</x:v>
      </x:c>
      <x:c r="Y30" s="18" t="str">
        <x:f>IF(F30=INDEX(ProductionReference!$G$5:$G$74,MATCH(S30,ProductionReference!$A$5:$A$74,0)),"OK","CASE MISMATCH")</x:f>
        <x:v>OK</x:v>
      </x:c>
      <x:c r="Z30" s="18" t="str">
        <x:f>IF(COUNTIFS($A$5:$A$74,A30,$B$5:$B$74,B30,$C$5:$C$74,C30,$D$5:$D$74,D30,$E$5:$E$74,E30)=1,"OK","DUPLICATE")</x:f>
        <x:v>OK</x:v>
      </x:c>
    </x:row>
    <x:row r="31">
      <x:c r="A31" s="13" t="str">
        <x:v>KG01</x:v>
      </x:c>
      <x:c r="B31" s="13" t="n">
        <x:v>22</x:v>
      </x:c>
      <x:c r="C31" s="20" t="n">
        <x:v>45956</x:v>
      </x:c>
      <x:c r="D31" s="13" t="str">
        <x:v>AM</x:v>
      </x:c>
      <x:c r="E31" s="13" t="str">
        <x:v>ORD-2025-00058</x:v>
      </x:c>
      <x:c r="F31" s="13" t="str">
        <x:v>Trial</x:v>
      </x:c>
      <x:c r="G31" s="13" t="n">
        <x:v>15579</x:v>
      </x:c>
      <x:c r="H31" s="22" t="n">
        <x:v>0.006593553820241923</x:v>
      </x:c>
      <x:c r="I31" s="22" t="n">
        <x:v>0.02600099525340683</x:v>
      </x:c>
      <x:c r="J31" s="22" t="n">
        <x:v>0.01387612922982698</x:v>
      </x:c>
      <x:c r="K31" s="22" t="n">
        <x:v>0.014526871841984382</x:v>
      </x:c>
      <x:c r="L31" s="22" t="n">
        <x:v>0.01934045322308988</x:v>
      </x:c>
      <x:c r="M31" s="22" t="n">
        <x:v>0.011588960342979635</x:v>
      </x:c>
      <x:c r="N31" s="22" t="n">
        <x:v>0.0019043791149900475</x:v>
      </x:c>
      <x:c r="O31" s="22" t="n">
        <x:v>0.009942964323993263</x:v>
      </x:c>
      <x:c r="P31" s="22" t="n">
        <x:v>0.011751645996018986</x:v>
      </x:c>
      <x:c r="Q31" s="22" t="n">
        <x:v>0.017340376665135507</x:v>
      </x:c>
      <x:c r="R31" s="22" t="n">
        <x:v>0.016220716582452915</x:v>
      </x:c>
      <x:c r="S31" s="23" t="str">
        <x:v>PE000027</x:v>
      </x:c>
      <x:c r="T31" s="23" t="n">
        <x:v>104496</x:v>
      </x:c>
      <x:c r="U31" s="23" t="n">
        <x:f>SUM(H31:R31)</x:f>
        <x:v>0.14908704639412032</x:v>
      </x:c>
      <x:c r="V31" s="18" t="n">
        <x:f>ROUND(T31*U31,0)</x:f>
        <x:v>15579</x:v>
      </x:c>
      <x:c r="W31" s="18" t="str">
        <x:f>IF(ABS(G31-V31)&lt;=1,"OK","CHECK")</x:f>
        <x:v>OK</x:v>
      </x:c>
      <x:c r="X31" s="18" t="str">
        <x:f>IF(COUNTIF(ProductionReference!$A$5:$A$74,S31)=1,"OK","LINK ERROR")</x:f>
        <x:v>OK</x:v>
      </x:c>
      <x:c r="Y31" s="18" t="str">
        <x:f>IF(F31=INDEX(ProductionReference!$G$5:$G$74,MATCH(S31,ProductionReference!$A$5:$A$74,0)),"OK","CASE MISMATCH")</x:f>
        <x:v>OK</x:v>
      </x:c>
      <x:c r="Z31" s="18" t="str">
        <x:f>IF(COUNTIFS($A$5:$A$74,A31,$B$5:$B$74,B31,$C$5:$C$74,C31,$D$5:$D$74,D31,$E$5:$E$74,E31)=1,"OK","DUPLICATE")</x:f>
        <x:v>OK</x:v>
      </x:c>
    </x:row>
    <x:row r="32">
      <x:c r="A32" s="13" t="str">
        <x:v>KG01</x:v>
      </x:c>
      <x:c r="B32" s="13" t="n">
        <x:v>22</x:v>
      </x:c>
      <x:c r="C32" s="20" t="n">
        <x:v>45956</x:v>
      </x:c>
      <x:c r="D32" s="13" t="str">
        <x:v>PM</x:v>
      </x:c>
      <x:c r="E32" s="13" t="str">
        <x:v>ORD-2025-00058</x:v>
      </x:c>
      <x:c r="F32" s="13" t="str">
        <x:v>Normal</x:v>
      </x:c>
      <x:c r="G32" s="13" t="n">
        <x:v>8405</x:v>
      </x:c>
      <x:c r="H32" s="22" t="n">
        <x:v>0.0032096667610686303</x:v>
      </x:c>
      <x:c r="I32" s="22" t="n">
        <x:v>0.004894151798357406</x:v>
      </x:c>
      <x:c r="J32" s="22" t="n">
        <x:v>0.0026373548569810254</x:v>
      </x:c>
      <x:c r="K32" s="22" t="n">
        <x:v>0.0007493155857641839</x:v>
      </x:c>
      <x:c r="L32" s="22" t="n">
        <x:v>0.0015812328896441046</x:v>
      </x:c>
      <x:c r="M32" s="22" t="n">
        <x:v>0.0015310818465024073</x:v>
      </x:c>
      <x:c r="N32" s="22" t="n">
        <x:v>0.001359978287548381</x:v>
      </x:c>
      <x:c r="O32" s="22" t="n">
        <x:v>0.0007257150948739734</x:v>
      </x:c>
      <x:c r="P32" s="22" t="n">
        <x:v>0.003094614367978854</x:v>
      </x:c>
      <x:c r="Q32" s="22" t="n">
        <x:v>0.002194845652789578</x:v>
      </x:c>
      <x:c r="R32" s="22" t="n">
        <x:v>0.00281730860001888</x:v>
      </x:c>
      <x:c r="S32" s="23" t="str">
        <x:v>PE000028</x:v>
      </x:c>
      <x:c r="T32" s="23" t="n">
        <x:v>338976</x:v>
      </x:c>
      <x:c r="U32" s="23" t="n">
        <x:f>SUM(H32:R32)</x:f>
        <x:v>0.024795265741527427</x:v>
      </x:c>
      <x:c r="V32" s="18" t="n">
        <x:f>ROUND(T32*U32,0)</x:f>
        <x:v>8405</x:v>
      </x:c>
      <x:c r="W32" s="18" t="str">
        <x:f>IF(ABS(G32-V32)&lt;=1,"OK","CHECK")</x:f>
        <x:v>OK</x:v>
      </x:c>
      <x:c r="X32" s="18" t="str">
        <x:f>IF(COUNTIF(ProductionReference!$A$5:$A$74,S32)=1,"OK","LINK ERROR")</x:f>
        <x:v>OK</x:v>
      </x:c>
      <x:c r="Y32" s="18" t="str">
        <x:f>IF(F32=INDEX(ProductionReference!$G$5:$G$74,MATCH(S32,ProductionReference!$A$5:$A$74,0)),"OK","CASE MISMATCH")</x:f>
        <x:v>OK</x:v>
      </x:c>
      <x:c r="Z32" s="18" t="str">
        <x:f>IF(COUNTIFS($A$5:$A$74,A32,$B$5:$B$74,B32,$C$5:$C$74,C32,$D$5:$D$74,D32,$E$5:$E$74,E32)=1,"OK","DUPLICATE")</x:f>
        <x:v>OK</x:v>
      </x:c>
    </x:row>
    <x:row r="33">
      <x:c r="A33" s="13" t="str">
        <x:v>KG01</x:v>
      </x:c>
      <x:c r="B33" s="13" t="n">
        <x:v>23</x:v>
      </x:c>
      <x:c r="C33" s="20" t="n">
        <x:v>45950</x:v>
      </x:c>
      <x:c r="D33" s="13" t="str">
        <x:v>AM</x:v>
      </x:c>
      <x:c r="E33" s="13" t="str">
        <x:v>ORD-2025-00092</x:v>
      </x:c>
      <x:c r="F33" s="13" t="str">
        <x:v>Normal</x:v>
      </x:c>
      <x:c r="G33" s="13" t="n">
        <x:v>18278</x:v>
      </x:c>
      <x:c r="H33" s="22" t="n">
        <x:v>0.005192715833473984</x:v>
      </x:c>
      <x:c r="I33" s="22" t="n">
        <x:v>0.009369153256938883</x:v>
      </x:c>
      <x:c r="J33" s="22" t="n">
        <x:v>0.002757956957197801</x:v>
      </x:c>
      <x:c r="K33" s="22" t="n">
        <x:v>0.005562598081639835</x:v>
      </x:c>
      <x:c r="L33" s="22" t="n">
        <x:v>0.0031924788215479754</x:v>
      </x:c>
      <x:c r="M33" s="22" t="n">
        <x:v>0.008536020426118715</x:v>
      </x:c>
      <x:c r="N33" s="22" t="n">
        <x:v>0.0004524773132902642</x:v>
      </x:c>
      <x:c r="O33" s="22" t="n">
        <x:v>0.0029411025363867173</x:v>
      </x:c>
      <x:c r="P33" s="22" t="n">
        <x:v>0.004664825634635343</x:v>
      </x:c>
      <x:c r="Q33" s="22" t="n">
        <x:v>0.014784516657269983</x:v>
      </x:c>
      <x:c r="R33" s="22" t="n">
        <x:v>0.008184093626892952</x:v>
      </x:c>
      <x:c r="S33" s="23" t="str">
        <x:v>PE000029</x:v>
      </x:c>
      <x:c r="T33" s="23" t="n">
        <x:v>278467</x:v>
      </x:c>
      <x:c r="U33" s="23" t="n">
        <x:f>SUM(H33:R33)</x:f>
        <x:v>0.06563793914539245</x:v>
      </x:c>
      <x:c r="V33" s="18" t="n">
        <x:f>ROUND(T33*U33,0)</x:f>
        <x:v>18278</x:v>
      </x:c>
      <x:c r="W33" s="18" t="str">
        <x:f>IF(ABS(G33-V33)&lt;=1,"OK","CHECK")</x:f>
        <x:v>OK</x:v>
      </x:c>
      <x:c r="X33" s="18" t="str">
        <x:f>IF(COUNTIF(ProductionReference!$A$5:$A$74,S33)=1,"OK","LINK ERROR")</x:f>
        <x:v>OK</x:v>
      </x:c>
      <x:c r="Y33" s="18" t="str">
        <x:f>IF(F33=INDEX(ProductionReference!$G$5:$G$74,MATCH(S33,ProductionReference!$A$5:$A$74,0)),"OK","CASE MISMATCH")</x:f>
        <x:v>OK</x:v>
      </x:c>
      <x:c r="Z33" s="18" t="str">
        <x:f>IF(COUNTIFS($A$5:$A$74,A33,$B$5:$B$74,B33,$C$5:$C$74,C33,$D$5:$D$74,D33,$E$5:$E$74,E33)=1,"OK","DUPLICATE")</x:f>
        <x:v>OK</x:v>
      </x:c>
    </x:row>
    <x:row r="34">
      <x:c r="A34" s="13" t="str">
        <x:v>KG01</x:v>
      </x:c>
      <x:c r="B34" s="13" t="n">
        <x:v>23</x:v>
      </x:c>
      <x:c r="C34" s="20" t="n">
        <x:v>45950</x:v>
      </x:c>
      <x:c r="D34" s="13" t="str">
        <x:v>PM</x:v>
      </x:c>
      <x:c r="E34" s="13" t="str">
        <x:v>ORD-2025-00092</x:v>
      </x:c>
      <x:c r="F34" s="13" t="str">
        <x:v>Normal</x:v>
      </x:c>
      <x:c r="G34" s="13" t="n">
        <x:v>15396</x:v>
      </x:c>
      <x:c r="H34" s="22" t="n">
        <x:v>0.006044707212849566</x:v>
      </x:c>
      <x:c r="I34" s="22" t="n">
        <x:v>0.012826661131351596</x:v>
      </x:c>
      <x:c r="J34" s="22" t="n">
        <x:v>0.006173546442963589</x:v>
      </x:c>
      <x:c r="K34" s="22" t="n">
        <x:v>0.0036146561781989707</x:v>
      </x:c>
      <x:c r="L34" s="22" t="n">
        <x:v>0.007111209728793421</x:v>
      </x:c>
      <x:c r="M34" s="22" t="n">
        <x:v>0.005583033304940984</x:v>
      </x:c>
      <x:c r="N34" s="22" t="n">
        <x:v>0.0038365459633953433</x:v>
      </x:c>
      <x:c r="O34" s="22" t="n">
        <x:v>0.0006084074755384406</x:v>
      </x:c>
      <x:c r="P34" s="22" t="n">
        <x:v>0.001288392301140227</x:v>
      </x:c>
      <x:c r="Q34" s="22" t="n">
        <x:v>0.0054613518098332965</x:v>
      </x:c>
      <x:c r="R34" s="22" t="n">
        <x:v>0.0025517325297582834</x:v>
      </x:c>
      <x:c r="S34" s="23" t="str">
        <x:v>PE000030</x:v>
      </x:c>
      <x:c r="T34" s="23" t="n">
        <x:v>279418</x:v>
      </x:c>
      <x:c r="U34" s="23" t="n">
        <x:f>SUM(H34:R34)</x:f>
        <x:v>0.05510024407876371</x:v>
      </x:c>
      <x:c r="V34" s="18" t="n">
        <x:f>ROUND(T34*U34,0)</x:f>
        <x:v>15396</x:v>
      </x:c>
      <x:c r="W34" s="18" t="str">
        <x:f>IF(ABS(G34-V34)&lt;=1,"OK","CHECK")</x:f>
        <x:v>OK</x:v>
      </x:c>
      <x:c r="X34" s="18" t="str">
        <x:f>IF(COUNTIF(ProductionReference!$A$5:$A$74,S34)=1,"OK","LINK ERROR")</x:f>
        <x:v>OK</x:v>
      </x:c>
      <x:c r="Y34" s="18" t="str">
        <x:f>IF(F34=INDEX(ProductionReference!$G$5:$G$74,MATCH(S34,ProductionReference!$A$5:$A$74,0)),"OK","CASE MISMATCH")</x:f>
        <x:v>OK</x:v>
      </x:c>
      <x:c r="Z34" s="18" t="str">
        <x:f>IF(COUNTIFS($A$5:$A$74,A34,$B$5:$B$74,B34,$C$5:$C$74,C34,$D$5:$D$74,D34,$E$5:$E$74,E34)=1,"OK","DUPLICATE")</x:f>
        <x:v>OK</x:v>
      </x:c>
    </x:row>
    <x:row r="35">
      <x:c r="A35" s="13" t="str">
        <x:v>KG01</x:v>
      </x:c>
      <x:c r="B35" s="13" t="n">
        <x:v>23</x:v>
      </x:c>
      <x:c r="C35" s="20" t="n">
        <x:v>45951</x:v>
      </x:c>
      <x:c r="D35" s="13" t="str">
        <x:v>AM</x:v>
      </x:c>
      <x:c r="E35" s="13" t="str">
        <x:v>ORD-2025-00092</x:v>
      </x:c>
      <x:c r="F35" s="13" t="str">
        <x:v>Normal</x:v>
      </x:c>
      <x:c r="G35" s="13" t="n">
        <x:v>17700</x:v>
      </x:c>
      <x:c r="H35" s="22" t="n">
        <x:v>0.0047925738250787706</x:v>
      </x:c>
      <x:c r="I35" s="22" t="n">
        <x:v>0.007872411994704407</x:v>
      </x:c>
      <x:c r="J35" s="22" t="n">
        <x:v>0.003752588391046867</x:v>
      </x:c>
      <x:c r="K35" s="22" t="n">
        <x:v>0.0035643417694565228</x:v>
      </x:c>
      <x:c r="L35" s="22" t="n">
        <x:v>0.008298281400925187</x:v>
      </x:c>
      <x:c r="M35" s="22" t="n">
        <x:v>0.0029687418027854327</x:v>
      </x:c>
      <x:c r="N35" s="22" t="n">
        <x:v>0.0027588931098650486</x:v>
      </x:c>
      <x:c r="O35" s="22" t="n">
        <x:v>0.0012683501880923211</x:v>
      </x:c>
      <x:c r="P35" s="22" t="n">
        <x:v>0.003474847473946359</x:v>
      </x:c>
      <x:c r="Q35" s="22" t="n">
        <x:v>0.010338134136518918</x:v>
      </x:c>
      <x:c r="R35" s="22" t="n">
        <x:v>0.0055332162706801255</x:v>
      </x:c>
      <x:c r="S35" s="23" t="str">
        <x:v>PE000031</x:v>
      </x:c>
      <x:c r="T35" s="23" t="n">
        <x:v>324043</x:v>
      </x:c>
      <x:c r="U35" s="23" t="n">
        <x:f>SUM(H35:R35)</x:f>
        <x:v>0.05462238036309996</x:v>
      </x:c>
      <x:c r="V35" s="18" t="n">
        <x:f>ROUND(T35*U35,0)</x:f>
        <x:v>17700</x:v>
      </x:c>
      <x:c r="W35" s="18" t="str">
        <x:f>IF(ABS(G35-V35)&lt;=1,"OK","CHECK")</x:f>
        <x:v>OK</x:v>
      </x:c>
      <x:c r="X35" s="18" t="str">
        <x:f>IF(COUNTIF(ProductionReference!$A$5:$A$74,S35)=1,"OK","LINK ERROR")</x:f>
        <x:v>OK</x:v>
      </x:c>
      <x:c r="Y35" s="18" t="str">
        <x:f>IF(F35=INDEX(ProductionReference!$G$5:$G$74,MATCH(S35,ProductionReference!$A$5:$A$74,0)),"OK","CASE MISMATCH")</x:f>
        <x:v>OK</x:v>
      </x:c>
      <x:c r="Z35" s="18" t="str">
        <x:f>IF(COUNTIFS($A$5:$A$74,A35,$B$5:$B$74,B35,$C$5:$C$74,C35,$D$5:$D$74,D35,$E$5:$E$74,E35)=1,"OK","DUPLICATE")</x:f>
        <x:v>OK</x:v>
      </x:c>
    </x:row>
    <x:row r="36">
      <x:c r="A36" s="13" t="str">
        <x:v>KG01</x:v>
      </x:c>
      <x:c r="B36" s="13" t="n">
        <x:v>23</x:v>
      </x:c>
      <x:c r="C36" s="20" t="n">
        <x:v>45951</x:v>
      </x:c>
      <x:c r="D36" s="13" t="str">
        <x:v>PM</x:v>
      </x:c>
      <x:c r="E36" s="13" t="str">
        <x:v>ORD-2025-00092</x:v>
      </x:c>
      <x:c r="F36" s="13" t="str">
        <x:v>Normal</x:v>
      </x:c>
      <x:c r="G36" s="13" t="n">
        <x:v>20517</x:v>
      </x:c>
      <x:c r="H36" s="22" t="n">
        <x:v>0.0038295038295038295</x:v>
      </x:c>
      <x:c r="I36" s="22" t="n">
        <x:v>0.014531764531764533</x:v>
      </x:c>
      <x:c r="J36" s="22" t="n">
        <x:v>0.003407086740420074</x:v>
      </x:c>
      <x:c r="K36" s="22" t="n">
        <x:v>0.0062098395431728765</x:v>
      </x:c>
      <x:c r="L36" s="22" t="n">
        <x:v>0.004045337378670712</x:v>
      </x:c>
      <x:c r="M36" s="22" t="n">
        <x:v>0.005016588349921683</x:v>
      </x:c>
      <x:c r="N36" s="22" t="n">
        <x:v>0.004800754800754801</x:v>
      </x:c>
      <x:c r="O36" s="22" t="n">
        <x:v>0.0031172531172531173</x:v>
      </x:c>
      <x:c r="P36" s="22" t="n">
        <x:v>0.002013418680085347</x:v>
      </x:c>
      <x:c r="Q36" s="22" t="n">
        <x:v>0.0053341720008386675</x:v>
      </x:c>
      <x:c r="R36" s="22" t="n">
        <x:v>0.010955094288427622</x:v>
      </x:c>
      <x:c r="S36" s="23" t="str">
        <x:v>PE000032</x:v>
      </x:c>
      <x:c r="T36" s="23" t="n">
        <x:v>324324</x:v>
      </x:c>
      <x:c r="U36" s="23" t="n">
        <x:f>SUM(H36:R36)</x:f>
        <x:v>0.06326081326081326</x:v>
      </x:c>
      <x:c r="V36" s="18" t="n">
        <x:f>ROUND(T36*U36,0)</x:f>
        <x:v>20517</x:v>
      </x:c>
      <x:c r="W36" s="18" t="str">
        <x:f>IF(ABS(G36-V36)&lt;=1,"OK","CHECK")</x:f>
        <x:v>OK</x:v>
      </x:c>
      <x:c r="X36" s="18" t="str">
        <x:f>IF(COUNTIF(ProductionReference!$A$5:$A$74,S36)=1,"OK","LINK ERROR")</x:f>
        <x:v>OK</x:v>
      </x:c>
      <x:c r="Y36" s="18" t="str">
        <x:f>IF(F36=INDEX(ProductionReference!$G$5:$G$74,MATCH(S36,ProductionReference!$A$5:$A$74,0)),"OK","CASE MISMATCH")</x:f>
        <x:v>OK</x:v>
      </x:c>
      <x:c r="Z36" s="18" t="str">
        <x:f>IF(COUNTIFS($A$5:$A$74,A36,$B$5:$B$74,B36,$C$5:$C$74,C36,$D$5:$D$74,D36,$E$5:$E$74,E36)=1,"OK","DUPLICATE")</x:f>
        <x:v>OK</x:v>
      </x:c>
    </x:row>
    <x:row r="37">
      <x:c r="A37" s="13" t="str">
        <x:v>KG01</x:v>
      </x:c>
      <x:c r="B37" s="13" t="n">
        <x:v>23</x:v>
      </x:c>
      <x:c r="C37" s="20" t="n">
        <x:v>45952</x:v>
      </x:c>
      <x:c r="D37" s="13" t="str">
        <x:v>AM</x:v>
      </x:c>
      <x:c r="E37" s="13" t="str">
        <x:v>ORD-2025-00093</x:v>
      </x:c>
      <x:c r="F37" s="13" t="str">
        <x:v>Normal</x:v>
      </x:c>
      <x:c r="G37" s="13" t="n">
        <x:v>4895</x:v>
      </x:c>
      <x:c r="H37" s="22" t="n">
        <x:v>0.00975719172320978</x:v>
      </x:c>
      <x:c r="I37" s="22" t="n">
        <x:v>0.012594627936970785</x:v>
      </x:c>
      <x:c r="J37" s="22" t="n">
        <x:v>0.0037795098973812595</x:v>
      </x:c>
      <x:c r="K37" s="22" t="n">
        <x:v>0.003925307015084394</x:v>
      </x:c>
      <x:c r="L37" s="22" t="n">
        <x:v>0.00467672292940055</x:v>
      </x:c>
      <x:c r="M37" s="22" t="n">
        <x:v>0.0015364773173330343</x:v>
      </x:c>
      <x:c r="N37" s="22" t="n">
        <x:v>0.005820669545225144</x:v>
      </x:c>
      <x:c r="O37" s="22" t="n">
        <x:v>0.0009084281949195312</x:v>
      </x:c>
      <x:c r="P37" s="22" t="n">
        <x:v>0.0017159199237368923</x:v>
      </x:c>
      <x:c r="Q37" s="22" t="n">
        <x:v>0.004093534458588011</x:v>
      </x:c>
      <x:c r="R37" s="22" t="n">
        <x:v>0.006089833454830932</x:v>
      </x:c>
      <x:c r="S37" s="23" t="str">
        <x:v>PE000033</x:v>
      </x:c>
      <x:c r="T37" s="23" t="n">
        <x:v>89165</x:v>
      </x:c>
      <x:c r="U37" s="23" t="n">
        <x:f>SUM(H37:R37)</x:f>
        <x:v>0.05489822239668032</x:v>
      </x:c>
      <x:c r="V37" s="18" t="n">
        <x:f>ROUND(T37*U37,0)</x:f>
        <x:v>4895</x:v>
      </x:c>
      <x:c r="W37" s="18" t="str">
        <x:f>IF(ABS(G37-V37)&lt;=1,"OK","CHECK")</x:f>
        <x:v>OK</x:v>
      </x:c>
      <x:c r="X37" s="18" t="str">
        <x:f>IF(COUNTIF(ProductionReference!$A$5:$A$74,S37)=1,"OK","LINK ERROR")</x:f>
        <x:v>OK</x:v>
      </x:c>
      <x:c r="Y37" s="18" t="str">
        <x:f>IF(F37=INDEX(ProductionReference!$G$5:$G$74,MATCH(S37,ProductionReference!$A$5:$A$74,0)),"OK","CASE MISMATCH")</x:f>
        <x:v>OK</x:v>
      </x:c>
      <x:c r="Z37" s="18" t="str">
        <x:f>IF(COUNTIFS($A$5:$A$74,A37,$B$5:$B$74,B37,$C$5:$C$74,C37,$D$5:$D$74,D37,$E$5:$E$74,E37)=1,"OK","DUPLICATE")</x:f>
        <x:v>OK</x:v>
      </x:c>
    </x:row>
    <x:row r="38">
      <x:c r="A38" s="13" t="str">
        <x:v>KG01</x:v>
      </x:c>
      <x:c r="B38" s="13" t="n">
        <x:v>23</x:v>
      </x:c>
      <x:c r="C38" s="20" t="n">
        <x:v>45952</x:v>
      </x:c>
      <x:c r="D38" s="13" t="str">
        <x:v>PM</x:v>
      </x:c>
      <x:c r="E38" s="13" t="str">
        <x:v>ORD-2025-00093</x:v>
      </x:c>
      <x:c r="F38" s="13" t="str">
        <x:v>Normal</x:v>
      </x:c>
      <x:c r="G38" s="13" t="n">
        <x:v>10098</x:v>
      </x:c>
      <x:c r="H38" s="22" t="n">
        <x:v>0.007306763285024154</x:v>
      </x:c>
      <x:c r="I38" s="22" t="n">
        <x:v>0.009595410628019324</x:v>
      </x:c>
      <x:c r="J38" s="22" t="n">
        <x:v>0.0042995169082125605</x:v>
      </x:c>
      <x:c r="K38" s="22" t="n">
        <x:v>0.0030253623188405796</x:v>
      </x:c>
      <x:c r="L38" s="22" t="n">
        <x:v>0.007210144927536232</x:v>
      </x:c>
      <x:c r="M38" s="22" t="n">
        <x:v>0.004921497584541063</x:v>
      </x:c>
      <x:c r="N38" s="22" t="n">
        <x:v>0.0016183574879227052</x:v>
      </x:c>
      <x:c r="O38" s="22" t="n">
        <x:v>0.0012258454106280194</x:v>
      </x:c>
      <x:c r="P38" s="22" t="n">
        <x:v>0.00125</x:v>
      </x:c>
      <x:c r="Q38" s="22" t="n">
        <x:v>0.015440821256038647</x:v>
      </x:c>
      <x:c r="R38" s="22" t="n">
        <x:v>0.005084541062801933</x:v>
      </x:c>
      <x:c r="S38" s="23" t="str">
        <x:v>PE000034</x:v>
      </x:c>
      <x:c r="T38" s="23" t="n">
        <x:v>165600</x:v>
      </x:c>
      <x:c r="U38" s="23" t="n">
        <x:f>SUM(H38:R38)</x:f>
        <x:v>0.060978260869565225</x:v>
      </x:c>
      <x:c r="V38" s="18" t="n">
        <x:f>ROUND(T38*U38,0)</x:f>
        <x:v>10098</x:v>
      </x:c>
      <x:c r="W38" s="18" t="str">
        <x:f>IF(ABS(G38-V38)&lt;=1,"OK","CHECK")</x:f>
        <x:v>OK</x:v>
      </x:c>
      <x:c r="X38" s="18" t="str">
        <x:f>IF(COUNTIF(ProductionReference!$A$5:$A$74,S38)=1,"OK","LINK ERROR")</x:f>
        <x:v>OK</x:v>
      </x:c>
      <x:c r="Y38" s="18" t="str">
        <x:f>IF(F38=INDEX(ProductionReference!$G$5:$G$74,MATCH(S38,ProductionReference!$A$5:$A$74,0)),"OK","CASE MISMATCH")</x:f>
        <x:v>OK</x:v>
      </x:c>
      <x:c r="Z38" s="18" t="str">
        <x:f>IF(COUNTIFS($A$5:$A$74,A38,$B$5:$B$74,B38,$C$5:$C$74,C38,$D$5:$D$74,D38,$E$5:$E$74,E38)=1,"OK","DUPLICATE")</x:f>
        <x:v>OK</x:v>
      </x:c>
    </x:row>
    <x:row r="39">
      <x:c r="A39" s="13" t="str">
        <x:v>KG01</x:v>
      </x:c>
      <x:c r="B39" s="13" t="n">
        <x:v>23</x:v>
      </x:c>
      <x:c r="C39" s="20" t="n">
        <x:v>45953</x:v>
      </x:c>
      <x:c r="D39" s="13" t="str">
        <x:v>AM</x:v>
      </x:c>
      <x:c r="E39" s="13" t="str">
        <x:v>ORD-2025-00093</x:v>
      </x:c>
      <x:c r="F39" s="13" t="str">
        <x:v>Normal</x:v>
      </x:c>
      <x:c r="G39" s="13" t="n">
        <x:v>7869</x:v>
      </x:c>
      <x:c r="H39" s="22" t="n">
        <x:v>0.002992139568484953</x:v>
      </x:c>
      <x:c r="I39" s="22" t="n">
        <x:v>0.011925428334213903</x:v>
      </x:c>
      <x:c r="J39" s="22" t="n">
        <x:v>0.006135233926010588</x:v>
      </x:c>
      <x:c r="K39" s="22" t="n">
        <x:v>0.004070388061632684</x:v>
      </x:c>
      <x:c r="L39" s="22" t="n">
        <x:v>0.0020378896520492113</x:v>
      </x:c>
      <x:c r="M39" s="22" t="n">
        <x:v>0.0037684784835513192</x:v>
      </x:c>
      <x:c r="N39" s="22" t="n">
        <x:v>0.0005229505191766495</x:v>
      </x:c>
      <x:c r="O39" s="22" t="n">
        <x:v>0.0016227639821873349</x:v>
      </x:c>
      <x:c r="P39" s="22" t="n">
        <x:v>0.0031107469027312033</x:v>
      </x:c>
      <x:c r="Q39" s="22" t="n">
        <x:v>0.0028196198095813163</x:v>
      </x:c>
      <x:c r="R39" s="22" t="n">
        <x:v>0.0034180477232783066</x:v>
      </x:c>
      <x:c r="S39" s="23" t="str">
        <x:v>PE000035</x:v>
      </x:c>
      <x:c r="T39" s="23" t="n">
        <x:v>185486</x:v>
      </x:c>
      <x:c r="U39" s="23" t="n">
        <x:f>SUM(H39:R39)</x:f>
        <x:v>0.04242368696289747</x:v>
      </x:c>
      <x:c r="V39" s="18" t="n">
        <x:f>ROUND(T39*U39,0)</x:f>
        <x:v>7869</x:v>
      </x:c>
      <x:c r="W39" s="18" t="str">
        <x:f>IF(ABS(G39-V39)&lt;=1,"OK","CHECK")</x:f>
        <x:v>OK</x:v>
      </x:c>
      <x:c r="X39" s="18" t="str">
        <x:f>IF(COUNTIF(ProductionReference!$A$5:$A$74,S39)=1,"OK","LINK ERROR")</x:f>
        <x:v>OK</x:v>
      </x:c>
      <x:c r="Y39" s="18" t="str">
        <x:f>IF(F39=INDEX(ProductionReference!$G$5:$G$74,MATCH(S39,ProductionReference!$A$5:$A$74,0)),"OK","CASE MISMATCH")</x:f>
        <x:v>OK</x:v>
      </x:c>
      <x:c r="Z39" s="18" t="str">
        <x:f>IF(COUNTIFS($A$5:$A$74,A39,$B$5:$B$74,B39,$C$5:$C$74,C39,$D$5:$D$74,D39,$E$5:$E$74,E39)=1,"OK","DUPLICATE")</x:f>
        <x:v>OK</x:v>
      </x:c>
    </x:row>
    <x:row r="40">
      <x:c r="A40" s="13" t="str">
        <x:v>KG01</x:v>
      </x:c>
      <x:c r="B40" s="13" t="n">
        <x:v>23</x:v>
      </x:c>
      <x:c r="C40" s="20" t="n">
        <x:v>45953</x:v>
      </x:c>
      <x:c r="D40" s="13" t="str">
        <x:v>PM</x:v>
      </x:c>
      <x:c r="E40" s="13" t="str">
        <x:v>ORD-2025-00093</x:v>
      </x:c>
      <x:c r="F40" s="13" t="str">
        <x:v>Normal</x:v>
      </x:c>
      <x:c r="G40" s="13" t="n">
        <x:v>5160</x:v>
      </x:c>
      <x:c r="H40" s="22" t="n">
        <x:v>0.002171386832232146</x:v>
      </x:c>
      <x:c r="I40" s="22" t="n">
        <x:v>0.007151631860287526</x:v>
      </x:c>
      <x:c r="J40" s="22" t="n">
        <x:v>0.001992098011222152</x:v>
      </x:c>
      <x:c r="K40" s="22" t="n">
        <x:v>0.0031408745310269265</x:v>
      </x:c>
      <x:c r="L40" s="22" t="n">
        <x:v>0.0025166838208439857</x:v>
      </x:c>
      <x:c r="M40" s="22" t="n">
        <x:v>0.004083800923005412</x:v>
      </x:c>
      <x:c r="N40" s="22" t="n">
        <x:v>0.0013147846874066204</x:v>
      </x:c>
      <x:c r="O40" s="22" t="n">
        <x:v>0.0008499618181214515</x:v>
      </x:c>
      <x:c r="P40" s="22" t="n">
        <x:v>0.0006308310368870148</x:v>
      </x:c>
      <x:c r="Q40" s="22" t="n">
        <x:v>0.004263089744015405</x:v>
      </x:c>
      <x:c r="R40" s="22" t="n">
        <x:v>0.006148942527972376</x:v>
      </x:c>
      <x:c r="S40" s="23" t="str">
        <x:v>PE000036</x:v>
      </x:c>
      <x:c r="T40" s="23" t="n">
        <x:v>150595</x:v>
      </x:c>
      <x:c r="U40" s="23" t="n">
        <x:f>SUM(H40:R40)</x:f>
        <x:v>0.034264085793021024</x:v>
      </x:c>
      <x:c r="V40" s="18" t="n">
        <x:f>ROUND(T40*U40,0)</x:f>
        <x:v>5160</x:v>
      </x:c>
      <x:c r="W40" s="18" t="str">
        <x:f>IF(ABS(G40-V40)&lt;=1,"OK","CHECK")</x:f>
        <x:v>OK</x:v>
      </x:c>
      <x:c r="X40" s="18" t="str">
        <x:f>IF(COUNTIF(ProductionReference!$A$5:$A$74,S40)=1,"OK","LINK ERROR")</x:f>
        <x:v>OK</x:v>
      </x:c>
      <x:c r="Y40" s="18" t="str">
        <x:f>IF(F40=INDEX(ProductionReference!$G$5:$G$74,MATCH(S40,ProductionReference!$A$5:$A$74,0)),"OK","CASE MISMATCH")</x:f>
        <x:v>OK</x:v>
      </x:c>
      <x:c r="Z40" s="18" t="str">
        <x:f>IF(COUNTIFS($A$5:$A$74,A40,$B$5:$B$74,B40,$C$5:$C$74,C40,$D$5:$D$74,D40,$E$5:$E$74,E40)=1,"OK","DUPLICATE")</x:f>
        <x:v>OK</x:v>
      </x:c>
    </x:row>
    <x:row r="41">
      <x:c r="A41" s="13" t="str">
        <x:v>KG01</x:v>
      </x:c>
      <x:c r="B41" s="13" t="n">
        <x:v>23</x:v>
      </x:c>
      <x:c r="C41" s="20" t="n">
        <x:v>45954</x:v>
      </x:c>
      <x:c r="D41" s="13" t="str">
        <x:v>AM</x:v>
      </x:c>
      <x:c r="E41" s="13" t="str">
        <x:v>ORD-2025-00093</x:v>
      </x:c>
      <x:c r="F41" s="13" t="str">
        <x:v>Normal</x:v>
      </x:c>
      <x:c r="G41" s="13" t="n">
        <x:v>5654</x:v>
      </x:c>
      <x:c r="H41" s="22" t="n">
        <x:v>0.004173920056996525</x:v>
      </x:c>
      <x:c r="I41" s="22" t="n">
        <x:v>0.011587501092209355</x:v>
      </x:c>
      <x:c r="J41" s="22" t="n">
        <x:v>0.003925232388544237</x:v>
      </x:c>
      <x:c r="K41" s="22" t="n">
        <x:v>0.0020096652126279564</x:v>
      </x:c>
      <x:c r="L41" s="22" t="n">
        <x:v>0.0021373696910223752</x:v>
      </x:c>
      <x:c r="M41" s="22" t="n">
        <x:v>0.001633273065781249</x:v>
      </x:c>
      <x:c r="N41" s="22" t="n">
        <x:v>0.0012031106122421546</x:v>
      </x:c>
      <x:c r="O41" s="22" t="n">
        <x:v>0.0017408136791660226</x:v>
      </x:c>
      <x:c r="P41" s="22" t="n">
        <x:v>0.002977530733090919</x:v>
      </x:c>
      <x:c r="Q41" s="22" t="n">
        <x:v>0.002614581162917308</x:v>
      </x:c>
      <x:c r="R41" s="22" t="n">
        <x:v>0.003999166560246268</x:v>
      </x:c>
      <x:c r="S41" s="23" t="str">
        <x:v>PE000037</x:v>
      </x:c>
      <x:c r="T41" s="23" t="n">
        <x:v>148781</x:v>
      </x:c>
      <x:c r="U41" s="23" t="n">
        <x:f>SUM(H41:R41)</x:f>
        <x:v>0.03800216425484437</x:v>
      </x:c>
      <x:c r="V41" s="18" t="n">
        <x:f>ROUND(T41*U41,0)</x:f>
        <x:v>5654</x:v>
      </x:c>
      <x:c r="W41" s="18" t="str">
        <x:f>IF(ABS(G41-V41)&lt;=1,"OK","CHECK")</x:f>
        <x:v>OK</x:v>
      </x:c>
      <x:c r="X41" s="18" t="str">
        <x:f>IF(COUNTIF(ProductionReference!$A$5:$A$74,S41)=1,"OK","LINK ERROR")</x:f>
        <x:v>OK</x:v>
      </x:c>
      <x:c r="Y41" s="18" t="str">
        <x:f>IF(F41=INDEX(ProductionReference!$G$5:$G$74,MATCH(S41,ProductionReference!$A$5:$A$74,0)),"OK","CASE MISMATCH")</x:f>
        <x:v>OK</x:v>
      </x:c>
      <x:c r="Z41" s="18" t="str">
        <x:f>IF(COUNTIFS($A$5:$A$74,A41,$B$5:$B$74,B41,$C$5:$C$74,C41,$D$5:$D$74,D41,$E$5:$E$74,E41)=1,"OK","DUPLICATE")</x:f>
        <x:v>OK</x:v>
      </x:c>
    </x:row>
    <x:row r="42">
      <x:c r="A42" s="13" t="str">
        <x:v>KG01</x:v>
      </x:c>
      <x:c r="B42" s="13" t="n">
        <x:v>23</x:v>
      </x:c>
      <x:c r="C42" s="20" t="n">
        <x:v>45954</x:v>
      </x:c>
      <x:c r="D42" s="13" t="str">
        <x:v>PM</x:v>
      </x:c>
      <x:c r="E42" s="13" t="str">
        <x:v>ORD-2025-00093</x:v>
      </x:c>
      <x:c r="F42" s="13" t="str">
        <x:v>Normal</x:v>
      </x:c>
      <x:c r="G42" s="13" t="n">
        <x:v>5196</x:v>
      </x:c>
      <x:c r="H42" s="22" t="n">
        <x:v>0.0020845290047321516</x:v>
      </x:c>
      <x:c r="I42" s="22" t="n">
        <x:v>0.007623420360163297</x:v>
      </x:c>
      <x:c r="J42" s="22" t="n">
        <x:v>0.002625965109857386</x:v>
      </x:c>
      <x:c r="K42" s="22" t="n">
        <x:v>0.0015972365101194408</x:v>
      </x:c>
      <x:c r="L42" s="22" t="n">
        <x:v>0.002501434805678582</x:v>
      </x:c>
      <x:c r="M42" s="22" t="n">
        <x:v>0.001997899227912114</x:v>
      </x:c>
      <x:c r="N42" s="22" t="n">
        <x:v>0.001299446652300562</x:v>
      </x:c>
      <x:c r="O42" s="22" t="n">
        <x:v>0.0006172371598427669</x:v>
      </x:c>
      <x:c r="P42" s="22" t="n">
        <x:v>0.0034110474622889753</x:v>
      </x:c>
      <x:c r="Q42" s="22" t="n">
        <x:v>0.0033190033244176855</x:v>
      </x:c>
      <x:c r="R42" s="22" t="n">
        <x:v>0.0010558004049942065</x:v>
      </x:c>
      <x:c r="S42" s="23" t="str">
        <x:v>PE000038</x:v>
      </x:c>
      <x:c r="T42" s="23" t="n">
        <x:v>184694</x:v>
      </x:c>
      <x:c r="U42" s="23" t="n">
        <x:f>SUM(H42:R42)</x:f>
        <x:v>0.02813302002230717</x:v>
      </x:c>
      <x:c r="V42" s="18" t="n">
        <x:f>ROUND(T42*U42,0)</x:f>
        <x:v>5196</x:v>
      </x:c>
      <x:c r="W42" s="18" t="str">
        <x:f>IF(ABS(G42-V42)&lt;=1,"OK","CHECK")</x:f>
        <x:v>OK</x:v>
      </x:c>
      <x:c r="X42" s="18" t="str">
        <x:f>IF(COUNTIF(ProductionReference!$A$5:$A$74,S42)=1,"OK","LINK ERROR")</x:f>
        <x:v>OK</x:v>
      </x:c>
      <x:c r="Y42" s="18" t="str">
        <x:f>IF(F42=INDEX(ProductionReference!$G$5:$G$74,MATCH(S42,ProductionReference!$A$5:$A$74,0)),"OK","CASE MISMATCH")</x:f>
        <x:v>OK</x:v>
      </x:c>
      <x:c r="Z42" s="18" t="str">
        <x:f>IF(COUNTIFS($A$5:$A$74,A42,$B$5:$B$74,B42,$C$5:$C$74,C42,$D$5:$D$74,D42,$E$5:$E$74,E42)=1,"OK","DUPLICATE")</x:f>
        <x:v>OK</x:v>
      </x:c>
    </x:row>
    <x:row r="43">
      <x:c r="A43" s="13" t="str">
        <x:v>KG01</x:v>
      </x:c>
      <x:c r="B43" s="13" t="n">
        <x:v>23</x:v>
      </x:c>
      <x:c r="C43" s="20" t="n">
        <x:v>45955</x:v>
      </x:c>
      <x:c r="D43" s="13" t="str">
        <x:v>AM</x:v>
      </x:c>
      <x:c r="E43" s="13" t="str">
        <x:v>ORD-2025-00093</x:v>
      </x:c>
      <x:c r="F43" s="13" t="str">
        <x:v>Normal</x:v>
      </x:c>
      <x:c r="G43" s="13" t="n">
        <x:v>8874</x:v>
      </x:c>
      <x:c r="H43" s="22" t="n">
        <x:v>0.007032348804500703</x:v>
      </x:c>
      <x:c r="I43" s="22" t="n">
        <x:v>0.011316221284575715</x:v>
      </x:c>
      <x:c r="J43" s="22" t="n">
        <x:v>0.0043073136427566805</x:v>
      </x:c>
      <x:c r="K43" s="22" t="n">
        <x:v>0.006381856540084388</x:v>
      </x:c>
      <x:c r="L43" s="22" t="n">
        <x:v>0.003105954055321144</x:v>
      </x:c>
      <x:c r="M43" s="22" t="n">
        <x:v>0.0023265353961556493</x:v>
      </x:c>
      <x:c r="N43" s="22" t="n">
        <x:v>0.0032993436474449134</x:v>
      </x:c>
      <x:c r="O43" s="22" t="n">
        <x:v>0.0010021097046413502</x:v>
      </x:c>
      <x:c r="P43" s="22" t="n">
        <x:v>0.007266760431317393</x:v>
      </x:c>
      <x:c r="Q43" s="22" t="n">
        <x:v>0.004231129864041256</x:v>
      </x:c>
      <x:c r="R43" s="22" t="n">
        <x:v>0.001734646038443507</x:v>
      </x:c>
      <x:c r="S43" s="23" t="str">
        <x:v>PE000039</x:v>
      </x:c>
      <x:c r="T43" s="23" t="n">
        <x:v>170640</x:v>
      </x:c>
      <x:c r="U43" s="23" t="n">
        <x:f>SUM(H43:R43)</x:f>
        <x:v>0.0520042194092827</x:v>
      </x:c>
      <x:c r="V43" s="18" t="n">
        <x:f>ROUND(T43*U43,0)</x:f>
        <x:v>8874</x:v>
      </x:c>
      <x:c r="W43" s="18" t="str">
        <x:f>IF(ABS(G43-V43)&lt;=1,"OK","CHECK")</x:f>
        <x:v>OK</x:v>
      </x:c>
      <x:c r="X43" s="18" t="str">
        <x:f>IF(COUNTIF(ProductionReference!$A$5:$A$74,S43)=1,"OK","LINK ERROR")</x:f>
        <x:v>OK</x:v>
      </x:c>
      <x:c r="Y43" s="18" t="str">
        <x:f>IF(F43=INDEX(ProductionReference!$G$5:$G$74,MATCH(S43,ProductionReference!$A$5:$A$74,0)),"OK","CASE MISMATCH")</x:f>
        <x:v>OK</x:v>
      </x:c>
      <x:c r="Z43" s="18" t="str">
        <x:f>IF(COUNTIFS($A$5:$A$74,A43,$B$5:$B$74,B43,$C$5:$C$74,C43,$D$5:$D$74,D43,$E$5:$E$74,E43)=1,"OK","DUPLICATE")</x:f>
        <x:v>OK</x:v>
      </x:c>
    </x:row>
    <x:row r="44">
      <x:c r="A44" s="13" t="str">
        <x:v>KG01</x:v>
      </x:c>
      <x:c r="B44" s="13" t="n">
        <x:v>23</x:v>
      </x:c>
      <x:c r="C44" s="20" t="n">
        <x:v>45955</x:v>
      </x:c>
      <x:c r="D44" s="13" t="str">
        <x:v>PM</x:v>
      </x:c>
      <x:c r="E44" s="13" t="str">
        <x:v>ORD-2025-00093</x:v>
      </x:c>
      <x:c r="F44" s="13" t="str">
        <x:v>Normal</x:v>
      </x:c>
      <x:c r="G44" s="13" t="n">
        <x:v>7497</x:v>
      </x:c>
      <x:c r="H44" s="22" t="n">
        <x:v>0.005231347793969512</x:v>
      </x:c>
      <x:c r="I44" s="22" t="n">
        <x:v>0.01576791350480156</x:v>
      </x:c>
      <x:c r="J44" s="22" t="n">
        <x:v>0.0012826539520515749</x:v>
      </x:c>
      <x:c r="K44" s="22" t="n">
        <x:v>0.001981062386676516</x:v>
      </x:c>
      <x:c r="L44" s="22" t="n">
        <x:v>0.004136726882009267</x:v>
      </x:c>
      <x:c r="M44" s="22" t="n">
        <x:v>0.0031831307501175208</x:v>
      </x:c>
      <x:c r="N44" s="22" t="n">
        <x:v>0.0023168356725538916</x:v>
      </x:c>
      <x:c r="O44" s="22" t="n">
        <x:v>0.0006849775031898463</x:v>
      </x:c>
      <x:c r="P44" s="22" t="n">
        <x:v>0.005493250956953865</x:v>
      </x:c>
      <x:c r="Q44" s="22" t="n">
        <x:v>0.005184339533946679</x:v>
      </x:c>
      <x:c r="R44" s="22" t="n">
        <x:v>0.005083607548183467</x:v>
      </x:c>
      <x:c r="S44" s="23" t="str">
        <x:v>PE000040</x:v>
      </x:c>
      <x:c r="T44" s="23" t="n">
        <x:v>148910</x:v>
      </x:c>
      <x:c r="U44" s="23" t="n">
        <x:f>SUM(H44:R44)</x:f>
        <x:v>0.0503458464844537</x:v>
      </x:c>
      <x:c r="V44" s="18" t="n">
        <x:f>ROUND(T44*U44,0)</x:f>
        <x:v>7497</x:v>
      </x:c>
      <x:c r="W44" s="18" t="str">
        <x:f>IF(ABS(G44-V44)&lt;=1,"OK","CHECK")</x:f>
        <x:v>OK</x:v>
      </x:c>
      <x:c r="X44" s="18" t="str">
        <x:f>IF(COUNTIF(ProductionReference!$A$5:$A$74,S44)=1,"OK","LINK ERROR")</x:f>
        <x:v>OK</x:v>
      </x:c>
      <x:c r="Y44" s="18" t="str">
        <x:f>IF(F44=INDEX(ProductionReference!$G$5:$G$74,MATCH(S44,ProductionReference!$A$5:$A$74,0)),"OK","CASE MISMATCH")</x:f>
        <x:v>OK</x:v>
      </x:c>
      <x:c r="Z44" s="18" t="str">
        <x:f>IF(COUNTIFS($A$5:$A$74,A44,$B$5:$B$74,B44,$C$5:$C$74,C44,$D$5:$D$74,D44,$E$5:$E$74,E44)=1,"OK","DUPLICATE")</x:f>
        <x:v>OK</x:v>
      </x:c>
    </x:row>
    <x:row r="45">
      <x:c r="A45" s="13" t="str">
        <x:v>KG01</x:v>
      </x:c>
      <x:c r="B45" s="13" t="n">
        <x:v>23</x:v>
      </x:c>
      <x:c r="C45" s="20" t="n">
        <x:v>45956</x:v>
      </x:c>
      <x:c r="D45" s="13" t="str">
        <x:v>AM</x:v>
      </x:c>
      <x:c r="E45" s="13" t="str">
        <x:v>ORD-2025-00094</x:v>
      </x:c>
      <x:c r="F45" s="13" t="str">
        <x:v>Trial</x:v>
      </x:c>
      <x:c r="G45" s="13" t="n">
        <x:v>1161</x:v>
      </x:c>
      <x:c r="H45" s="22" t="n">
        <x:v>0.008928571428571428</x:v>
      </x:c>
      <x:c r="I45" s="22" t="n">
        <x:v>0.022130647130647132</x:v>
      </x:c>
      <x:c r="J45" s="22" t="n">
        <x:v>0.005952380952380952</x:v>
      </x:c>
      <x:c r="K45" s="22" t="n">
        <x:v>0.002670940170940171</x:v>
      </x:c>
      <x:c r="L45" s="22" t="n">
        <x:v>0.008318070818070818</x:v>
      </x:c>
      <x:c r="M45" s="22" t="n">
        <x:v>0.009081196581196582</x:v>
      </x:c>
      <x:c r="N45" s="22" t="n">
        <x:v>0.00434981684981685</x:v>
      </x:c>
      <x:c r="O45" s="22" t="n">
        <x:v>0.007097069597069597</x:v>
      </x:c>
      <x:c r="P45" s="22" t="n">
        <x:v>0.004731379731379731</x:v>
      </x:c>
      <x:c r="Q45" s="22" t="n">
        <x:v>0.006105006105006105</x:v>
      </x:c>
      <x:c r="R45" s="22" t="n">
        <x:v>0.009233821733821734</x:v>
      </x:c>
      <x:c r="S45" s="23" t="str">
        <x:v>PE000041</x:v>
      </x:c>
      <x:c r="T45" s="23" t="n">
        <x:v>13104</x:v>
      </x:c>
      <x:c r="U45" s="23" t="n">
        <x:f>SUM(H45:R45)</x:f>
        <x:v>0.08859890109890109</x:v>
      </x:c>
      <x:c r="V45" s="18" t="n">
        <x:f>ROUND(T45*U45,0)</x:f>
        <x:v>1161</x:v>
      </x:c>
      <x:c r="W45" s="18" t="str">
        <x:f>IF(ABS(G45-V45)&lt;=1,"OK","CHECK")</x:f>
        <x:v>OK</x:v>
      </x:c>
      <x:c r="X45" s="18" t="str">
        <x:f>IF(COUNTIF(ProductionReference!$A$5:$A$74,S45)=1,"OK","LINK ERROR")</x:f>
        <x:v>OK</x:v>
      </x:c>
      <x:c r="Y45" s="18" t="str">
        <x:f>IF(F45=INDEX(ProductionReference!$G$5:$G$74,MATCH(S45,ProductionReference!$A$5:$A$74,0)),"OK","CASE MISMATCH")</x:f>
        <x:v>OK</x:v>
      </x:c>
      <x:c r="Z45" s="18" t="str">
        <x:f>IF(COUNTIFS($A$5:$A$74,A45,$B$5:$B$74,B45,$C$5:$C$74,C45,$D$5:$D$74,D45,$E$5:$E$74,E45)=1,"OK","DUPLICATE")</x:f>
        <x:v>OK</x:v>
      </x:c>
    </x:row>
    <x:row r="46">
      <x:c r="A46" s="13" t="str">
        <x:v>KG01</x:v>
      </x:c>
      <x:c r="B46" s="13" t="n">
        <x:v>23</x:v>
      </x:c>
      <x:c r="C46" s="20" t="n">
        <x:v>45956</x:v>
      </x:c>
      <x:c r="D46" s="13" t="str">
        <x:v>PM</x:v>
      </x:c>
      <x:c r="E46" s="13" t="str">
        <x:v>ORD-2025-00094</x:v>
      </x:c>
      <x:c r="F46" s="13" t="str">
        <x:v>Normal</x:v>
      </x:c>
      <x:c r="G46" s="13" t="n">
        <x:v>11865</x:v>
      </x:c>
      <x:c r="H46" s="22" t="n">
        <x:v>0.00954348681621409</x:v>
      </x:c>
      <x:c r="I46" s="22" t="n">
        <x:v>0.016386811841357297</x:v>
      </x:c>
      <x:c r="J46" s="22" t="n">
        <x:v>0.006050767414403778</x:v>
      </x:c>
      <x:c r="K46" s="22" t="n">
        <x:v>0.0014976605885696794</x:v>
      </x:c>
      <x:c r="L46" s="22" t="n">
        <x:v>0.006280335825790372</x:v>
      </x:c>
      <x:c r="M46" s="22" t="n">
        <x:v>0.006821461366915913</x:v>
      </x:c>
      <x:c r="N46" s="22" t="n">
        <x:v>0.0003662162753071844</x:v>
      </x:c>
      <x:c r="O46" s="22" t="n">
        <x:v>0.002918798373343828</x:v>
      </x:c>
      <x:c r="P46" s="22" t="n">
        <x:v>0.0047389479207661026</x:v>
      </x:c>
      <x:c r="Q46" s="22" t="n">
        <x:v>0.0069963706327342695</x:v>
      </x:c>
      <x:c r="R46" s="22" t="n">
        <x:v>0.0032522191613100705</x:v>
      </x:c>
      <x:c r="S46" s="23" t="str">
        <x:v>PE000042</x:v>
      </x:c>
      <x:c r="T46" s="23" t="n">
        <x:v>182952</x:v>
      </x:c>
      <x:c r="U46" s="23" t="n">
        <x:f>SUM(H46:R46)</x:f>
        <x:v>0.06485307621671259</x:v>
      </x:c>
      <x:c r="V46" s="18" t="n">
        <x:f>ROUND(T46*U46,0)</x:f>
        <x:v>11865</x:v>
      </x:c>
      <x:c r="W46" s="18" t="str">
        <x:f>IF(ABS(G46-V46)&lt;=1,"OK","CHECK")</x:f>
        <x:v>OK</x:v>
      </x:c>
      <x:c r="X46" s="18" t="str">
        <x:f>IF(COUNTIF(ProductionReference!$A$5:$A$74,S46)=1,"OK","LINK ERROR")</x:f>
        <x:v>OK</x:v>
      </x:c>
      <x:c r="Y46" s="18" t="str">
        <x:f>IF(F46=INDEX(ProductionReference!$G$5:$G$74,MATCH(S46,ProductionReference!$A$5:$A$74,0)),"OK","CASE MISMATCH")</x:f>
        <x:v>OK</x:v>
      </x:c>
      <x:c r="Z46" s="18" t="str">
        <x:f>IF(COUNTIFS($A$5:$A$74,A46,$B$5:$B$74,B46,$C$5:$C$74,C46,$D$5:$D$74,D46,$E$5:$E$74,E46)=1,"OK","DUPLICATE")</x:f>
        <x:v>OK</x:v>
      </x:c>
    </x:row>
    <x:row r="47">
      <x:c r="A47" s="13" t="str">
        <x:v>KG01</x:v>
      </x:c>
      <x:c r="B47" s="13" t="n">
        <x:v>24</x:v>
      </x:c>
      <x:c r="C47" s="20" t="n">
        <x:v>45950</x:v>
      </x:c>
      <x:c r="D47" s="13" t="str">
        <x:v>AM</x:v>
      </x:c>
      <x:c r="E47" s="13" t="str">
        <x:v>ORD-2025-00124</x:v>
      </x:c>
      <x:c r="F47" s="13" t="str">
        <x:v>Normal</x:v>
      </x:c>
      <x:c r="G47" s="13" t="n">
        <x:v>14398</x:v>
      </x:c>
      <x:c r="H47" s="22" t="n">
        <x:v>0.003585397653194263</x:v>
      </x:c>
      <x:c r="I47" s="22" t="n">
        <x:v>0.0063830943068231205</x:v>
      </x:c>
      <x:c r="J47" s="22" t="n">
        <x:v>0.0030896892655367233</x:v>
      </x:c>
      <x:c r="K47" s="22" t="n">
        <x:v>0.0018832391713747645</x:v>
      </x:c>
      <x:c r="L47" s="22" t="n">
        <x:v>0.0024355352745183256</x:v>
      </x:c>
      <x:c r="M47" s="22" t="n">
        <x:v>0.0024310082572794435</x:v>
      </x:c>
      <x:c r="N47" s="22" t="n">
        <x:v>0.0003168912067217152</x:v>
      </x:c>
      <x:c r="O47" s="22" t="n">
        <x:v>0.002349521946979574</x:v>
      </x:c>
      <x:c r="P47" s="22" t="n">
        <x:v>0.0009868897580761987</x:v>
      </x:c>
      <x:c r="Q47" s="22" t="n">
        <x:v>0.003718944661741272</x:v>
      </x:c>
      <x:c r="R47" s="22" t="n">
        <x:v>0.005409785600463566</x:v>
      </x:c>
      <x:c r="S47" s="23" t="str">
        <x:v>PE000043</x:v>
      </x:c>
      <x:c r="T47" s="23" t="n">
        <x:v>441792</x:v>
      </x:c>
      <x:c r="U47" s="23" t="n">
        <x:f>SUM(H47:R47)</x:f>
        <x:v>0.03258999710270897</x:v>
      </x:c>
      <x:c r="V47" s="18" t="n">
        <x:f>ROUND(T47*U47,0)</x:f>
        <x:v>14398</x:v>
      </x:c>
      <x:c r="W47" s="18" t="str">
        <x:f>IF(ABS(G47-V47)&lt;=1,"OK","CHECK")</x:f>
        <x:v>OK</x:v>
      </x:c>
      <x:c r="X47" s="18" t="str">
        <x:f>IF(COUNTIF(ProductionReference!$A$5:$A$74,S47)=1,"OK","LINK ERROR")</x:f>
        <x:v>OK</x:v>
      </x:c>
      <x:c r="Y47" s="18" t="str">
        <x:f>IF(F47=INDEX(ProductionReference!$G$5:$G$74,MATCH(S47,ProductionReference!$A$5:$A$74,0)),"OK","CASE MISMATCH")</x:f>
        <x:v>OK</x:v>
      </x:c>
      <x:c r="Z47" s="18" t="str">
        <x:f>IF(COUNTIFS($A$5:$A$74,A47,$B$5:$B$74,B47,$C$5:$C$74,C47,$D$5:$D$74,D47,$E$5:$E$74,E47)=1,"OK","DUPLICATE")</x:f>
        <x:v>OK</x:v>
      </x:c>
    </x:row>
    <x:row r="48">
      <x:c r="A48" s="13" t="str">
        <x:v>KG01</x:v>
      </x:c>
      <x:c r="B48" s="13" t="n">
        <x:v>24</x:v>
      </x:c>
      <x:c r="C48" s="20" t="n">
        <x:v>45950</x:v>
      </x:c>
      <x:c r="D48" s="13" t="str">
        <x:v>PM</x:v>
      </x:c>
      <x:c r="E48" s="13" t="str">
        <x:v>ORD-2025-00124</x:v>
      </x:c>
      <x:c r="F48" s="13" t="str">
        <x:v>Normal</x:v>
      </x:c>
      <x:c r="G48" s="13" t="n">
        <x:v>17796</x:v>
      </x:c>
      <x:c r="H48" s="22" t="n">
        <x:v>0.005425919953485626</x:v>
      </x:c>
      <x:c r="I48" s="22" t="n">
        <x:v>0.013702208070062276</x:v>
      </x:c>
      <x:c r="J48" s="22" t="n">
        <x:v>0.0016398133974117293</x:v>
      </x:c>
      <x:c r="K48" s="22" t="n">
        <x:v>0.004058651719078616</x:v>
      </x:c>
      <x:c r="L48" s="22" t="n">
        <x:v>0.0022939217886230566</x:v>
      </x:c>
      <x:c r="M48" s="22" t="n">
        <x:v>0.0011537745233866463</x:v>
      </x:c>
      <x:c r="N48" s="22" t="n">
        <x:v>0.0028889787278500276</x:v>
      </x:c>
      <x:c r="O48" s="22" t="n">
        <x:v>0.0012105547656792962</x:v>
      </x:c>
      <x:c r="P48" s="22" t="n">
        <x:v>0.0018533071084320932</x:v>
      </x:c>
      <x:c r="Q48" s="22" t="n">
        <x:v>0.00427214543009898</x:v>
      </x:c>
      <x:c r="R48" s="22" t="n">
        <x:v>0.001919172189491567</x:v>
      </x:c>
      <x:c r="S48" s="23" t="str">
        <x:v>PE000044</x:v>
      </x:c>
      <x:c r="T48" s="23" t="n">
        <x:v>440294</x:v>
      </x:c>
      <x:c r="U48" s="23" t="n">
        <x:f>SUM(H48:R48)</x:f>
        <x:v>0.040418447673599915</x:v>
      </x:c>
      <x:c r="V48" s="18" t="n">
        <x:f>ROUND(T48*U48,0)</x:f>
        <x:v>17796</x:v>
      </x:c>
      <x:c r="W48" s="18" t="str">
        <x:f>IF(ABS(G48-V48)&lt;=1,"OK","CHECK")</x:f>
        <x:v>OK</x:v>
      </x:c>
      <x:c r="X48" s="18" t="str">
        <x:f>IF(COUNTIF(ProductionReference!$A$5:$A$74,S48)=1,"OK","LINK ERROR")</x:f>
        <x:v>OK</x:v>
      </x:c>
      <x:c r="Y48" s="18" t="str">
        <x:f>IF(F48=INDEX(ProductionReference!$G$5:$G$74,MATCH(S48,ProductionReference!$A$5:$A$74,0)),"OK","CASE MISMATCH")</x:f>
        <x:v>OK</x:v>
      </x:c>
      <x:c r="Z48" s="18" t="str">
        <x:f>IF(COUNTIFS($A$5:$A$74,A48,$B$5:$B$74,B48,$C$5:$C$74,C48,$D$5:$D$74,D48,$E$5:$E$74,E48)=1,"OK","DUPLICATE")</x:f>
        <x:v>OK</x:v>
      </x:c>
    </x:row>
    <x:row r="49">
      <x:c r="A49" s="13" t="str">
        <x:v>KG01</x:v>
      </x:c>
      <x:c r="B49" s="13" t="n">
        <x:v>24</x:v>
      </x:c>
      <x:c r="C49" s="20" t="n">
        <x:v>45951</x:v>
      </x:c>
      <x:c r="D49" s="13" t="str">
        <x:v>AM</x:v>
      </x:c>
      <x:c r="E49" s="13" t="str">
        <x:v>ORD-2025-00125</x:v>
      </x:c>
      <x:c r="F49" s="13" t="str">
        <x:v>Normal</x:v>
      </x:c>
      <x:c r="G49" s="13" t="n">
        <x:v>6939</x:v>
      </x:c>
      <x:c r="H49" s="22" t="n">
        <x:v>0.004072997160215868</x:v>
      </x:c>
      <x:c r="I49" s="22" t="n">
        <x:v>0.011251654655096338</x:v>
      </x:c>
      <x:c r="J49" s="22" t="n">
        <x:v>0.002613506511138516</x:v>
      </x:c>
      <x:c r="K49" s="22" t="n">
        <x:v>0.0028058424881487096</x:v>
      </x:c>
      <x:c r="L49" s="22" t="n">
        <x:v>0.002664418975641214</x:v>
      </x:c>
      <x:c r="M49" s="22" t="n">
        <x:v>0.0029925215246586036</x:v>
      </x:c>
      <x:c r="N49" s="22" t="n">
        <x:v>0.0031226311561654996</x:v>
      </x:c>
      <x:c r="O49" s="22" t="n">
        <x:v>0.0010635048140563658</x:v>
      </x:c>
      <x:c r="P49" s="22" t="n">
        <x:v>0.0009390521230497698</x:v>
      </x:c>
      <x:c r="Q49" s="22" t="n">
        <x:v>0.0061321235023250025</x:v>
      </x:c>
      <x:c r="R49" s="22" t="n">
        <x:v>0.0015952572210845486</x:v>
      </x:c>
      <x:c r="S49" s="23" t="str">
        <x:v>PE000045</x:v>
      </x:c>
      <x:c r="T49" s="23" t="n">
        <x:v>176774</x:v>
      </x:c>
      <x:c r="U49" s="23" t="n">
        <x:f>SUM(H49:R49)</x:f>
        <x:v>0.03925351013158044</x:v>
      </x:c>
      <x:c r="V49" s="18" t="n">
        <x:f>ROUND(T49*U49,0)</x:f>
        <x:v>6939</x:v>
      </x:c>
      <x:c r="W49" s="18" t="str">
        <x:f>IF(ABS(G49-V49)&lt;=1,"OK","CHECK")</x:f>
        <x:v>OK</x:v>
      </x:c>
      <x:c r="X49" s="18" t="str">
        <x:f>IF(COUNTIF(ProductionReference!$A$5:$A$74,S49)=1,"OK","LINK ERROR")</x:f>
        <x:v>OK</x:v>
      </x:c>
      <x:c r="Y49" s="18" t="str">
        <x:f>IF(F49=INDEX(ProductionReference!$G$5:$G$74,MATCH(S49,ProductionReference!$A$5:$A$74,0)),"OK","CASE MISMATCH")</x:f>
        <x:v>OK</x:v>
      </x:c>
      <x:c r="Z49" s="18" t="str">
        <x:f>IF(COUNTIFS($A$5:$A$74,A49,$B$5:$B$74,B49,$C$5:$C$74,C49,$D$5:$D$74,D49,$E$5:$E$74,E49)=1,"OK","DUPLICATE")</x:f>
        <x:v>OK</x:v>
      </x:c>
    </x:row>
    <x:row r="50">
      <x:c r="A50" s="13" t="str">
        <x:v>KG01</x:v>
      </x:c>
      <x:c r="B50" s="13" t="n">
        <x:v>24</x:v>
      </x:c>
      <x:c r="C50" s="20" t="n">
        <x:v>45951</x:v>
      </x:c>
      <x:c r="D50" s="13" t="str">
        <x:v>PM</x:v>
      </x:c>
      <x:c r="E50" s="13" t="str">
        <x:v>ORD-2025-00125</x:v>
      </x:c>
      <x:c r="F50" s="13" t="str">
        <x:v>Normal</x:v>
      </x:c>
      <x:c r="G50" s="13" t="n">
        <x:v>11230</x:v>
      </x:c>
      <x:c r="H50" s="22" t="n">
        <x:v>0.004599321962421299</x:v>
      </x:c>
      <x:c r="I50" s="22" t="n">
        <x:v>0.006187340003887679</x:v>
      </x:c>
      <x:c r="J50" s="22" t="n">
        <x:v>0.0028894021210913176</x:v>
      </x:c>
      <x:c r="K50" s="22" t="n">
        <x:v>0.0029552949858824536</x:v>
      </x:c>
      <x:c r="L50" s="22" t="n">
        <x:v>0.0027938574671441704</x:v>
      </x:c>
      <x:c r="M50" s="22" t="n">
        <x:v>0.0029454110561637835</x:v>
      </x:c>
      <x:c r="N50" s="22" t="n">
        <x:v>0.000843428669326542</x:v>
      </x:c>
      <x:c r="O50" s="22" t="n">
        <x:v>0.0012915001499062674</x:v>
      </x:c>
      <x:c r="P50" s="22" t="n">
        <x:v>0.002003143089650537</x:v>
      </x:c>
      <x:c r="Q50" s="22" t="n">
        <x:v>0.007949974137050569</x:v>
      </x:c>
      <x:c r="R50" s="22" t="n">
        <x:v>0.0025401699376982963</x:v>
      </x:c>
      <x:c r="S50" s="23" t="str">
        <x:v>PE000046</x:v>
      </x:c>
      <x:c r="T50" s="23" t="n">
        <x:v>303523</x:v>
      </x:c>
      <x:c r="U50" s="23" t="n">
        <x:f>SUM(H50:R50)</x:f>
        <x:v>0.036998843580222915</x:v>
      </x:c>
      <x:c r="V50" s="18" t="n">
        <x:f>ROUND(T50*U50,0)</x:f>
        <x:v>11230</x:v>
      </x:c>
      <x:c r="W50" s="18" t="str">
        <x:f>IF(ABS(G50-V50)&lt;=1,"OK","CHECK")</x:f>
        <x:v>OK</x:v>
      </x:c>
      <x:c r="X50" s="18" t="str">
        <x:f>IF(COUNTIF(ProductionReference!$A$5:$A$74,S50)=1,"OK","LINK ERROR")</x:f>
        <x:v>OK</x:v>
      </x:c>
      <x:c r="Y50" s="18" t="str">
        <x:f>IF(F50=INDEX(ProductionReference!$G$5:$G$74,MATCH(S50,ProductionReference!$A$5:$A$74,0)),"OK","CASE MISMATCH")</x:f>
        <x:v>OK</x:v>
      </x:c>
      <x:c r="Z50" s="18" t="str">
        <x:f>IF(COUNTIFS($A$5:$A$74,A50,$B$5:$B$74,B50,$C$5:$C$74,C50,$D$5:$D$74,D50,$E$5:$E$74,E50)=1,"OK","DUPLICATE")</x:f>
        <x:v>OK</x:v>
      </x:c>
    </x:row>
    <x:row r="51">
      <x:c r="A51" s="13" t="str">
        <x:v>KG01</x:v>
      </x:c>
      <x:c r="B51" s="13" t="n">
        <x:v>24</x:v>
      </x:c>
      <x:c r="C51" s="20" t="n">
        <x:v>45952</x:v>
      </x:c>
      <x:c r="D51" s="13" t="str">
        <x:v>AM</x:v>
      </x:c>
      <x:c r="E51" s="13" t="str">
        <x:v>ORD-2025-00125</x:v>
      </x:c>
      <x:c r="F51" s="13" t="str">
        <x:v>Normal</x:v>
      </x:c>
      <x:c r="G51" s="13" t="n">
        <x:v>6331</x:v>
      </x:c>
      <x:c r="H51" s="22" t="n">
        <x:v>0.0016322412155745489</x:v>
      </x:c>
      <x:c r="I51" s="22" t="n">
        <x:v>0.005190197319826949</x:v>
      </x:c>
      <x:c r="J51" s="22" t="n">
        <x:v>0.0030237680700643662</x:v>
      </x:c>
      <x:c r="K51" s="22" t="n">
        <x:v>0.0015662920755513349</x:v>
      </x:c>
      <x:c r="L51" s="22" t="n">
        <x:v>0.0010848633533818719</x:v>
      </x:c>
      <x:c r="M51" s="22" t="n">
        <x:v>0.00020444233407196371</x:v>
      </x:c>
      <x:c r="N51" s="22" t="n">
        <x:v>0.001408014139495621</x:v>
      </x:c>
      <x:c r="O51" s="22" t="n">
        <x:v>0.001342064999472407</x:v>
      </x:c>
      <x:c r="P51" s="22" t="n">
        <x:v>0.001833386092645352</x:v>
      </x:c>
      <x:c r="Q51" s="22" t="n">
        <x:v>0.0019389047166824944</x:v>
      </x:c>
      <x:c r="R51" s="22" t="n">
        <x:v>0.001652025957581513</x:v>
      </x:c>
      <x:c r="S51" s="23" t="str">
        <x:v>PE000047</x:v>
      </x:c>
      <x:c r="T51" s="23" t="n">
        <x:v>303264</x:v>
      </x:c>
      <x:c r="U51" s="23" t="n">
        <x:f>SUM(H51:R51)</x:f>
        <x:v>0.02087620027434842</x:v>
      </x:c>
      <x:c r="V51" s="18" t="n">
        <x:f>ROUND(T51*U51,0)</x:f>
        <x:v>6331</x:v>
      </x:c>
      <x:c r="W51" s="18" t="str">
        <x:f>IF(ABS(G51-V51)&lt;=1,"OK","CHECK")</x:f>
        <x:v>OK</x:v>
      </x:c>
      <x:c r="X51" s="18" t="str">
        <x:f>IF(COUNTIF(ProductionReference!$A$5:$A$74,S51)=1,"OK","LINK ERROR")</x:f>
        <x:v>OK</x:v>
      </x:c>
      <x:c r="Y51" s="18" t="str">
        <x:f>IF(F51=INDEX(ProductionReference!$G$5:$G$74,MATCH(S51,ProductionReference!$A$5:$A$74,0)),"OK","CASE MISMATCH")</x:f>
        <x:v>OK</x:v>
      </x:c>
      <x:c r="Z51" s="18" t="str">
        <x:f>IF(COUNTIFS($A$5:$A$74,A51,$B$5:$B$74,B51,$C$5:$C$74,C51,$D$5:$D$74,D51,$E$5:$E$74,E51)=1,"OK","DUPLICATE")</x:f>
        <x:v>OK</x:v>
      </x:c>
    </x:row>
    <x:row r="52">
      <x:c r="A52" s="13" t="str">
        <x:v>KG01</x:v>
      </x:c>
      <x:c r="B52" s="13" t="n">
        <x:v>24</x:v>
      </x:c>
      <x:c r="C52" s="20" t="n">
        <x:v>45952</x:v>
      </x:c>
      <x:c r="D52" s="13" t="str">
        <x:v>PM</x:v>
      </x:c>
      <x:c r="E52" s="13" t="str">
        <x:v>ORD-2025-00125</x:v>
      </x:c>
      <x:c r="F52" s="13" t="str">
        <x:v>Normal</x:v>
      </x:c>
      <x:c r="G52" s="13" t="n">
        <x:v>12526</x:v>
      </x:c>
      <x:c r="H52" s="22" t="n">
        <x:v>0.004502141505362064</x:v>
      </x:c>
      <x:c r="I52" s="22" t="n">
        <x:v>0.010352269331651117</x:v>
      </x:c>
      <x:c r="J52" s="22" t="n">
        <x:v>0.003871310468475049</x:v>
      </x:c>
      <x:c r="K52" s="22" t="n">
        <x:v>0.004429097911617251</x:v>
      </x:c>
      <x:c r="L52" s="22" t="n">
        <x:v>0.0017762873933397524</x:v>
      </x:c>
      <x:c r="M52" s="22" t="n">
        <x:v>0.001706563962946977</x:v>
      </x:c>
      <x:c r="N52" s="22" t="n">
        <x:v>0.00100268933231515</x:v>
      </x:c>
      <x:c r="O52" s="22" t="n">
        <x:v>0.0019090939274212292</x:v>
      </x:c>
      <x:c r="P52" s="22" t="n">
        <x:v>0.0036986619741691293</x:v>
      </x:c>
      <x:c r="Q52" s="22" t="n">
        <x:v>0.004983565191407417</x:v>
      </x:c>
      <x:c r="R52" s="22" t="n">
        <x:v>0.003356685148909326</x:v>
      </x:c>
      <x:c r="S52" s="23" t="str">
        <x:v>PE000048</x:v>
      </x:c>
      <x:c r="T52" s="23" t="n">
        <x:v>301190</x:v>
      </x:c>
      <x:c r="U52" s="23" t="n">
        <x:f>SUM(H52:R52)</x:f>
        <x:v>0.041588366147614464</x:v>
      </x:c>
      <x:c r="V52" s="18" t="n">
        <x:f>ROUND(T52*U52,0)</x:f>
        <x:v>12526</x:v>
      </x:c>
      <x:c r="W52" s="18" t="str">
        <x:f>IF(ABS(G52-V52)&lt;=1,"OK","CHECK")</x:f>
        <x:v>OK</x:v>
      </x:c>
      <x:c r="X52" s="18" t="str">
        <x:f>IF(COUNTIF(ProductionReference!$A$5:$A$74,S52)=1,"OK","LINK ERROR")</x:f>
        <x:v>OK</x:v>
      </x:c>
      <x:c r="Y52" s="18" t="str">
        <x:f>IF(F52=INDEX(ProductionReference!$G$5:$G$74,MATCH(S52,ProductionReference!$A$5:$A$74,0)),"OK","CASE MISMATCH")</x:f>
        <x:v>OK</x:v>
      </x:c>
      <x:c r="Z52" s="18" t="str">
        <x:f>IF(COUNTIFS($A$5:$A$74,A52,$B$5:$B$74,B52,$C$5:$C$74,C52,$D$5:$D$74,D52,$E$5:$E$74,E52)=1,"OK","DUPLICATE")</x:f>
        <x:v>OK</x:v>
      </x:c>
    </x:row>
    <x:row r="53">
      <x:c r="A53" s="13" t="str">
        <x:v>KG01</x:v>
      </x:c>
      <x:c r="B53" s="13" t="n">
        <x:v>24</x:v>
      </x:c>
      <x:c r="C53" s="20" t="n">
        <x:v>45953</x:v>
      </x:c>
      <x:c r="D53" s="13" t="str">
        <x:v>AM</x:v>
      </x:c>
      <x:c r="E53" s="13" t="str">
        <x:v>ORD-2025-00125</x:v>
      </x:c>
      <x:c r="F53" s="13" t="str">
        <x:v>Normal</x:v>
      </x:c>
      <x:c r="G53" s="13" t="n">
        <x:v>16477</x:v>
      </x:c>
      <x:c r="H53" s="22" t="n">
        <x:v>0.006081893473789572</x:v>
      </x:c>
      <x:c r="I53" s="22" t="n">
        <x:v>0.009963563568451055</x:v>
      </x:c>
      <x:c r="J53" s="22" t="n">
        <x:v>0.0033384804116035082</x:v>
      </x:c>
      <x:c r="K53" s="22" t="n">
        <x:v>0.00313402137359854</x:v>
      </x:c>
      <x:c r="L53" s="22" t="n">
        <x:v>0.0029661818647884917</x:v>
      </x:c>
      <x:c r="M53" s="22" t="n">
        <x:v>0.0033262739018718682</x:v>
      </x:c>
      <x:c r="N53" s="22" t="n">
        <x:v>0.0016387239314726543</x:v>
      </x:c>
      <x:c r="O53" s="22" t="n">
        <x:v>0.0006774612901060135</x:v>
      </x:c>
      <x:c r="P53" s="22" t="n">
        <x:v>0.001480039304961336</x:v>
      </x:c>
      <x:c r="Q53" s="22" t="n">
        <x:v>0.01047318534974702</x:v>
      </x:c>
      <x:c r="R53" s="22" t="n">
        <x:v>0.007201840741667531</x:v>
      </x:c>
      <x:c r="S53" s="23" t="str">
        <x:v>PE000049</x:v>
      </x:c>
      <x:c r="T53" s="23" t="n">
        <x:v>327694</x:v>
      </x:c>
      <x:c r="U53" s="23" t="n">
        <x:f>SUM(H53:R53)</x:f>
        <x:v>0.05028166521205759</x:v>
      </x:c>
      <x:c r="V53" s="18" t="n">
        <x:f>ROUND(T53*U53,0)</x:f>
        <x:v>16477</x:v>
      </x:c>
      <x:c r="W53" s="18" t="str">
        <x:f>IF(ABS(G53-V53)&lt;=1,"OK","CHECK")</x:f>
        <x:v>OK</x:v>
      </x:c>
      <x:c r="X53" s="18" t="str">
        <x:f>IF(COUNTIF(ProductionReference!$A$5:$A$74,S53)=1,"OK","LINK ERROR")</x:f>
        <x:v>OK</x:v>
      </x:c>
      <x:c r="Y53" s="18" t="str">
        <x:f>IF(F53=INDEX(ProductionReference!$G$5:$G$74,MATCH(S53,ProductionReference!$A$5:$A$74,0)),"OK","CASE MISMATCH")</x:f>
        <x:v>OK</x:v>
      </x:c>
      <x:c r="Z53" s="18" t="str">
        <x:f>IF(COUNTIFS($A$5:$A$74,A53,$B$5:$B$74,B53,$C$5:$C$74,C53,$D$5:$D$74,D53,$E$5:$E$74,E53)=1,"OK","DUPLICATE")</x:f>
        <x:v>OK</x:v>
      </x:c>
    </x:row>
    <x:row r="54">
      <x:c r="A54" s="13" t="str">
        <x:v>KG01</x:v>
      </x:c>
      <x:c r="B54" s="13" t="n">
        <x:v>24</x:v>
      </x:c>
      <x:c r="C54" s="20" t="n">
        <x:v>45953</x:v>
      </x:c>
      <x:c r="D54" s="13" t="str">
        <x:v>PM</x:v>
      </x:c>
      <x:c r="E54" s="13" t="str">
        <x:v>ORD-2025-00125</x:v>
      </x:c>
      <x:c r="F54" s="13" t="str">
        <x:v>Normal</x:v>
      </x:c>
      <x:c r="G54" s="13" t="n">
        <x:v>9377</x:v>
      </x:c>
      <x:c r="H54" s="22" t="n">
        <x:v>0.002418327622396441</x:v>
      </x:c>
      <x:c r="I54" s="22" t="n">
        <x:v>0.0072765110062611</x:v>
      </x:c>
      <x:c r="J54" s="22" t="n">
        <x:v>0.004248219443497605</x:v>
      </x:c>
      <x:c r="K54" s="22" t="n">
        <x:v>0.004011409913708043</x:v>
      </x:c>
      <x:c r="L54" s="22" t="n">
        <x:v>0.003631079456773291</x:v>
      </x:c>
      <x:c r="M54" s="22" t="n">
        <x:v>0.0014675014800595613</x:v>
      </x:c>
      <x:c r="N54" s="22" t="n">
        <x:v>0.0011302273012683663</x:v>
      </x:c>
      <x:c r="O54" s="22" t="n">
        <x:v>0.00015428499668107857</x:v>
      </x:c>
      <x:c r="P54" s="22" t="n">
        <x:v>0.004355860138856497</x:v>
      </x:c>
      <x:c r="Q54" s="22" t="n">
        <x:v>0.003939649450135448</x:v>
      </x:c>
      <x:c r="R54" s="22" t="n">
        <x:v>0.001011822536373585</x:v>
      </x:c>
      <x:c r="S54" s="23" t="str">
        <x:v>PE000050</x:v>
      </x:c>
      <x:c r="T54" s="23" t="n">
        <x:v>278705</x:v>
      </x:c>
      <x:c r="U54" s="23" t="n">
        <x:f>SUM(H54:R54)</x:f>
        <x:v>0.03364489334601102</x:v>
      </x:c>
      <x:c r="V54" s="18" t="n">
        <x:f>ROUND(T54*U54,0)</x:f>
        <x:v>9377</x:v>
      </x:c>
      <x:c r="W54" s="18" t="str">
        <x:f>IF(ABS(G54-V54)&lt;=1,"OK","CHECK")</x:f>
        <x:v>OK</x:v>
      </x:c>
      <x:c r="X54" s="18" t="str">
        <x:f>IF(COUNTIF(ProductionReference!$A$5:$A$74,S54)=1,"OK","LINK ERROR")</x:f>
        <x:v>OK</x:v>
      </x:c>
      <x:c r="Y54" s="18" t="str">
        <x:f>IF(F54=INDEX(ProductionReference!$G$5:$G$74,MATCH(S54,ProductionReference!$A$5:$A$74,0)),"OK","CASE MISMATCH")</x:f>
        <x:v>OK</x:v>
      </x:c>
      <x:c r="Z54" s="18" t="str">
        <x:f>IF(COUNTIFS($A$5:$A$74,A54,$B$5:$B$74,B54,$C$5:$C$74,C54,$D$5:$D$74,D54,$E$5:$E$74,E54)=1,"OK","DUPLICATE")</x:f>
        <x:v>OK</x:v>
      </x:c>
    </x:row>
    <x:row r="55">
      <x:c r="A55" s="13" t="str">
        <x:v>KG01</x:v>
      </x:c>
      <x:c r="B55" s="13" t="n">
        <x:v>24</x:v>
      </x:c>
      <x:c r="C55" s="20" t="n">
        <x:v>45954</x:v>
      </x:c>
      <x:c r="D55" s="13" t="str">
        <x:v>AM</x:v>
      </x:c>
      <x:c r="E55" s="13" t="str">
        <x:v>ORD-2025-00125</x:v>
      </x:c>
      <x:c r="F55" s="13" t="str">
        <x:v>Normal</x:v>
      </x:c>
      <x:c r="G55" s="13" t="n">
        <x:v>13071</x:v>
      </x:c>
      <x:c r="H55" s="22" t="n">
        <x:v>0.007077544320897094</x:v>
      </x:c>
      <x:c r="I55" s="22" t="n">
        <x:v>0.012688014293080783</x:v>
      </x:c>
      <x:c r="J55" s="22" t="n">
        <x:v>0.005784775835397164</x:v>
      </x:c>
      <x:c r="K55" s="22" t="n">
        <x:v>0.002004517426954949</x:v>
      </x:c>
      <x:c r="L55" s="22" t="n">
        <x:v>0.004339489719585443</x:v>
      </x:c>
      <x:c r="M55" s="22" t="n">
        <x:v>0.0014815998373145277</x:v>
      </x:c>
      <x:c r="N55" s="22" t="n">
        <x:v>0.0010966743893847729</x:v>
      </x:c>
      <x:c r="O55" s="22" t="n">
        <x:v>0.0017103762827822121</x:v>
      </x:c>
      <x:c r="P55" s="22" t="n">
        <x:v>0.0032101329808481432</x:v>
      </x:c>
      <x:c r="Q55" s="22" t="n">
        <x:v>0.004190603461423934</x:v>
      </x:c>
      <x:c r="R55" s="22" t="n">
        <x:v>0.003881936828650074</x:v>
      </x:c>
      <x:c r="S55" s="23" t="str">
        <x:v>PE000051</x:v>
      </x:c>
      <x:c r="T55" s="23" t="n">
        <x:v>275378</x:v>
      </x:c>
      <x:c r="U55" s="23" t="n">
        <x:f>SUM(H55:R55)</x:f>
        <x:v>0.047465665376319105</x:v>
      </x:c>
      <x:c r="V55" s="18" t="n">
        <x:f>ROUND(T55*U55,0)</x:f>
        <x:v>13071</x:v>
      </x:c>
      <x:c r="W55" s="18" t="str">
        <x:f>IF(ABS(G55-V55)&lt;=1,"OK","CHECK")</x:f>
        <x:v>OK</x:v>
      </x:c>
      <x:c r="X55" s="18" t="str">
        <x:f>IF(COUNTIF(ProductionReference!$A$5:$A$74,S55)=1,"OK","LINK ERROR")</x:f>
        <x:v>OK</x:v>
      </x:c>
      <x:c r="Y55" s="18" t="str">
        <x:f>IF(F55=INDEX(ProductionReference!$G$5:$G$74,MATCH(S55,ProductionReference!$A$5:$A$74,0)),"OK","CASE MISMATCH")</x:f>
        <x:v>OK</x:v>
      </x:c>
      <x:c r="Z55" s="18" t="str">
        <x:f>IF(COUNTIFS($A$5:$A$74,A55,$B$5:$B$74,B55,$C$5:$C$74,C55,$D$5:$D$74,D55,$E$5:$E$74,E55)=1,"OK","DUPLICATE")</x:f>
        <x:v>OK</x:v>
      </x:c>
    </x:row>
    <x:row r="56">
      <x:c r="A56" s="13" t="str">
        <x:v>KG01</x:v>
      </x:c>
      <x:c r="B56" s="13" t="n">
        <x:v>24</x:v>
      </x:c>
      <x:c r="C56" s="20" t="n">
        <x:v>45954</x:v>
      </x:c>
      <x:c r="D56" s="13" t="str">
        <x:v>PM</x:v>
      </x:c>
      <x:c r="E56" s="13" t="str">
        <x:v>ORD-2025-00125</x:v>
      </x:c>
      <x:c r="F56" s="13" t="str">
        <x:v>Normal</x:v>
      </x:c>
      <x:c r="G56" s="13" t="n">
        <x:v>14154</x:v>
      </x:c>
      <x:c r="H56" s="22" t="n">
        <x:v>0.005344905381547509</x:v>
      </x:c>
      <x:c r="I56" s="22" t="n">
        <x:v>0.00992668546216019</x:v>
      </x:c>
      <x:c r="J56" s="22" t="n">
        <x:v>0.006095917582467499</x:v>
      </x:c>
      <x:c r="K56" s="22" t="n">
        <x:v>0.0030252467287059273</x:v>
      </x:c>
      <x:c r="L56" s="22" t="n">
        <x:v>0.002452902753004806</x:v>
      </x:c>
      <x:c r="M56" s="22" t="n">
        <x:v>0.003010105353687379</x:v>
      </x:c>
      <x:c r="N56" s="22" t="n">
        <x:v>0.0022227538527228733</x:v>
      </x:c>
      <x:c r="O56" s="22" t="n">
        <x:v>0.0016625229770365906</x:v>
      </x:c>
      <x:c r="P56" s="22" t="n">
        <x:v>0.0022712062527822274</x:v>
      </x:c>
      <x:c r="Q56" s="22" t="n">
        <x:v>0.005678015631955569</x:v>
      </x:c>
      <x:c r="R56" s="22" t="n">
        <x:v>0.0011719424264356295</x:v>
      </x:c>
      <x:c r="S56" s="23" t="str">
        <x:v>PE000052</x:v>
      </x:c>
      <x:c r="T56" s="23" t="n">
        <x:v>330221</x:v>
      </x:c>
      <x:c r="U56" s="23" t="n">
        <x:f>SUM(H56:R56)</x:f>
        <x:v>0.04286220440250621</x:v>
      </x:c>
      <x:c r="V56" s="18" t="n">
        <x:f>ROUND(T56*U56,0)</x:f>
        <x:v>14154</x:v>
      </x:c>
      <x:c r="W56" s="18" t="str">
        <x:f>IF(ABS(G56-V56)&lt;=1,"OK","CHECK")</x:f>
        <x:v>OK</x:v>
      </x:c>
      <x:c r="X56" s="18" t="str">
        <x:f>IF(COUNTIF(ProductionReference!$A$5:$A$74,S56)=1,"OK","LINK ERROR")</x:f>
        <x:v>OK</x:v>
      </x:c>
      <x:c r="Y56" s="18" t="str">
        <x:f>IF(F56=INDEX(ProductionReference!$G$5:$G$74,MATCH(S56,ProductionReference!$A$5:$A$74,0)),"OK","CASE MISMATCH")</x:f>
        <x:v>OK</x:v>
      </x:c>
      <x:c r="Z56" s="18" t="str">
        <x:f>IF(COUNTIFS($A$5:$A$74,A56,$B$5:$B$74,B56,$C$5:$C$74,C56,$D$5:$D$74,D56,$E$5:$E$74,E56)=1,"OK","DUPLICATE")</x:f>
        <x:v>OK</x:v>
      </x:c>
    </x:row>
    <x:row r="57">
      <x:c r="A57" s="13" t="str">
        <x:v>KG01</x:v>
      </x:c>
      <x:c r="B57" s="13" t="n">
        <x:v>24</x:v>
      </x:c>
      <x:c r="C57" s="20" t="n">
        <x:v>45955</x:v>
      </x:c>
      <x:c r="D57" s="13" t="str">
        <x:v>AM</x:v>
      </x:c>
      <x:c r="E57" s="13" t="str">
        <x:v>ORD-2025-00126</x:v>
      </x:c>
      <x:c r="F57" s="13" t="str">
        <x:v>Normal</x:v>
      </x:c>
      <x:c r="G57" s="13" t="n">
        <x:v>4816</x:v>
      </x:c>
      <x:c r="H57" s="22" t="n">
        <x:v>0.005400727253210246</x:v>
      </x:c>
      <x:c r="I57" s="22" t="n">
        <x:v>0.006574798395212474</x:v>
      </x:c>
      <x:c r="J57" s="22" t="n">
        <x:v>0.0008453312222416038</x:v>
      </x:c>
      <x:c r="K57" s="22" t="n">
        <x:v>0.004132730419847841</x:v>
      </x:c>
      <x:c r="L57" s="22" t="n">
        <x:v>0.0028848605203483303</x:v>
      </x:c>
      <x:c r="M57" s="22" t="n">
        <x:v>0.00297207723375421</x:v>
      </x:c>
      <x:c r="N57" s="22" t="n">
        <x:v>0.002334724328095858</x:v>
      </x:c>
      <x:c r="O57" s="22" t="n">
        <x:v>0.0021468729453755016</x:v>
      </x:c>
      <x:c r="P57" s="22" t="n">
        <x:v>0.0014692661719913588</x:v>
      </x:c>
      <x:c r="Q57" s="22" t="n">
        <x:v>0.0025225757108162145</x:v>
      </x:c>
      <x:c r="R57" s="22" t="n">
        <x:v>0.0010264736270076617</x:v>
      </x:c>
      <x:c r="S57" s="23" t="str">
        <x:v>PE000053</x:v>
      </x:c>
      <x:c r="T57" s="23" t="n">
        <x:v>149054</x:v>
      </x:c>
      <x:c r="U57" s="23" t="n">
        <x:f>SUM(H57:R57)</x:f>
        <x:v>0.0323104378279013</x:v>
      </x:c>
      <x:c r="V57" s="18" t="n">
        <x:f>ROUND(T57*U57,0)</x:f>
        <x:v>4816</x:v>
      </x:c>
      <x:c r="W57" s="18" t="str">
        <x:f>IF(ABS(G57-V57)&lt;=1,"OK","CHECK")</x:f>
        <x:v>OK</x:v>
      </x:c>
      <x:c r="X57" s="18" t="str">
        <x:f>IF(COUNTIF(ProductionReference!$A$5:$A$74,S57)=1,"OK","LINK ERROR")</x:f>
        <x:v>OK</x:v>
      </x:c>
      <x:c r="Y57" s="18" t="str">
        <x:f>IF(F57=INDEX(ProductionReference!$G$5:$G$74,MATCH(S57,ProductionReference!$A$5:$A$74,0)),"OK","CASE MISMATCH")</x:f>
        <x:v>OK</x:v>
      </x:c>
      <x:c r="Z57" s="18" t="str">
        <x:f>IF(COUNTIFS($A$5:$A$74,A57,$B$5:$B$74,B57,$C$5:$C$74,C57,$D$5:$D$74,D57,$E$5:$E$74,E57)=1,"OK","DUPLICATE")</x:f>
        <x:v>OK</x:v>
      </x:c>
    </x:row>
    <x:row r="58">
      <x:c r="A58" s="13" t="str">
        <x:v>KG01</x:v>
      </x:c>
      <x:c r="B58" s="13" t="n">
        <x:v>24</x:v>
      </x:c>
      <x:c r="C58" s="20" t="n">
        <x:v>45955</x:v>
      </x:c>
      <x:c r="D58" s="13" t="str">
        <x:v>PM</x:v>
      </x:c>
      <x:c r="E58" s="13" t="str">
        <x:v>ORD-2025-00126</x:v>
      </x:c>
      <x:c r="F58" s="13" t="str">
        <x:v>Normal</x:v>
      </x:c>
      <x:c r="G58" s="13" t="n">
        <x:v>6779</x:v>
      </x:c>
      <x:c r="H58" s="22" t="n">
        <x:v>0.00854678133265987</x:v>
      </x:c>
      <x:c r="I58" s="22" t="n">
        <x:v>0.013105950846038307</x:v>
      </x:c>
      <x:c r="J58" s="22" t="n">
        <x:v>0.0014621243337365252</x:v>
      </x:c>
      <x:c r="K58" s="22" t="n">
        <x:v>0.003316363829702391</x:v>
      </x:c>
      <x:c r="L58" s="22" t="n">
        <x:v>0.0037151250116305343</x:v>
      </x:c>
      <x:c r="M58" s="22" t="n">
        <x:v>0.0019672218308455064</x:v>
      </x:c>
      <x:c r="N58" s="22" t="n">
        <x:v>0.0027049300174125717</x:v>
      </x:c>
      <x:c r="O58" s="22" t="n">
        <x:v>0.0006712479895790411</x:v>
      </x:c>
      <x:c r="P58" s="22" t="n">
        <x:v>0.0018276554171706564</x:v>
      </x:c>
      <x:c r="Q58" s="22" t="n">
        <x:v>0.005522842369704784</x:v>
      </x:c>
      <x:c r="R58" s="22" t="n">
        <x:v>0.002213124559701195</x:v>
      </x:c>
      <x:c r="S58" s="23" t="str">
        <x:v>PE000054</x:v>
      </x:c>
      <x:c r="T58" s="23" t="n">
        <x:v>150466</x:v>
      </x:c>
      <x:c r="U58" s="23" t="n">
        <x:f>SUM(H58:R58)</x:f>
        <x:v>0.04505336753818138</x:v>
      </x:c>
      <x:c r="V58" s="18" t="n">
        <x:f>ROUND(T58*U58,0)</x:f>
        <x:v>6779</x:v>
      </x:c>
      <x:c r="W58" s="18" t="str">
        <x:f>IF(ABS(G58-V58)&lt;=1,"OK","CHECK")</x:f>
        <x:v>OK</x:v>
      </x:c>
      <x:c r="X58" s="18" t="str">
        <x:f>IF(COUNTIF(ProductionReference!$A$5:$A$74,S58)=1,"OK","LINK ERROR")</x:f>
        <x:v>OK</x:v>
      </x:c>
      <x:c r="Y58" s="18" t="str">
        <x:f>IF(F58=INDEX(ProductionReference!$G$5:$G$74,MATCH(S58,ProductionReference!$A$5:$A$74,0)),"OK","CASE MISMATCH")</x:f>
        <x:v>OK</x:v>
      </x:c>
      <x:c r="Z58" s="18" t="str">
        <x:f>IF(COUNTIFS($A$5:$A$74,A58,$B$5:$B$74,B58,$C$5:$C$74,C58,$D$5:$D$74,D58,$E$5:$E$74,E58)=1,"OK","DUPLICATE")</x:f>
        <x:v>OK</x:v>
      </x:c>
    </x:row>
    <x:row r="59">
      <x:c r="A59" s="13" t="str">
        <x:v>KG01</x:v>
      </x:c>
      <x:c r="B59" s="13" t="n">
        <x:v>24</x:v>
      </x:c>
      <x:c r="C59" s="20" t="n">
        <x:v>45956</x:v>
      </x:c>
      <x:c r="D59" s="13" t="str">
        <x:v>AM</x:v>
      </x:c>
      <x:c r="E59" s="13" t="str">
        <x:v>ORD-2025-00126</x:v>
      </x:c>
      <x:c r="F59" s="13" t="str">
        <x:v>Normal</x:v>
      </x:c>
      <x:c r="G59" s="13" t="n">
        <x:v>7322</x:v>
      </x:c>
      <x:c r="H59" s="22" t="n">
        <x:v>0.0027094723800802608</x:v>
      </x:c>
      <x:c r="I59" s="22" t="n">
        <x:v>0.005289665759918123</x:v>
      </x:c>
      <x:c r="J59" s="22" t="n">
        <x:v>0.0024293678795550646</x:v>
      </x:c>
      <x:c r="K59" s="22" t="n">
        <x:v>0.0014813218777774786</x:v>
      </x:c>
      <x:c r="L59" s="22" t="n">
        <x:v>0.004713296883837432</x:v>
      </x:c>
      <x:c r="M59" s="22" t="n">
        <x:v>0.0030057367556357564</x:v>
      </x:c>
      <x:c r="N59" s="22" t="n">
        <x:v>0.001519028252848178</x:v>
      </x:c>
      <x:c r="O59" s="22" t="n">
        <x:v>0.0033828005063427508</x:v>
      </x:c>
      <x:c r="P59" s="22" t="n">
        <x:v>0.00278488513022166</x:v>
      </x:c>
      <x:c r="Q59" s="22" t="n">
        <x:v>0.008085324140159982</x:v>
      </x:c>
      <x:c r="R59" s="22" t="n">
        <x:v>0.004039968757574942</x:v>
      </x:c>
      <x:c r="S59" s="23" t="str">
        <x:v>PE000055</x:v>
      </x:c>
      <x:c r="T59" s="23" t="n">
        <x:v>185645</x:v>
      </x:c>
      <x:c r="U59" s="23" t="n">
        <x:f>SUM(H59:R59)</x:f>
        <x:v>0.03944086832395163</x:v>
      </x:c>
      <x:c r="V59" s="18" t="n">
        <x:f>ROUND(T59*U59,0)</x:f>
        <x:v>7322</x:v>
      </x:c>
      <x:c r="W59" s="18" t="str">
        <x:f>IF(ABS(G59-V59)&lt;=1,"OK","CHECK")</x:f>
        <x:v>OK</x:v>
      </x:c>
      <x:c r="X59" s="18" t="str">
        <x:f>IF(COUNTIF(ProductionReference!$A$5:$A$74,S59)=1,"OK","LINK ERROR")</x:f>
        <x:v>OK</x:v>
      </x:c>
      <x:c r="Y59" s="18" t="str">
        <x:f>IF(F59=INDEX(ProductionReference!$G$5:$G$74,MATCH(S59,ProductionReference!$A$5:$A$74,0)),"OK","CASE MISMATCH")</x:f>
        <x:v>OK</x:v>
      </x:c>
      <x:c r="Z59" s="18" t="str">
        <x:f>IF(COUNTIFS($A$5:$A$74,A59,$B$5:$B$74,B59,$C$5:$C$74,C59,$D$5:$D$74,D59,$E$5:$E$74,E59)=1,"OK","DUPLICATE")</x:f>
        <x:v>OK</x:v>
      </x:c>
    </x:row>
    <x:row r="60">
      <x:c r="A60" s="13" t="str">
        <x:v>KG01</x:v>
      </x:c>
      <x:c r="B60" s="13" t="n">
        <x:v>24</x:v>
      </x:c>
      <x:c r="C60" s="20" t="n">
        <x:v>45956</x:v>
      </x:c>
      <x:c r="D60" s="13" t="str">
        <x:v>PM</x:v>
      </x:c>
      <x:c r="E60" s="13" t="str">
        <x:v>ORD-2025-00126</x:v>
      </x:c>
      <x:c r="F60" s="13" t="str">
        <x:v>Normal</x:v>
      </x:c>
      <x:c r="G60" s="13" t="n">
        <x:v>7085</x:v>
      </x:c>
      <x:c r="H60" s="22" t="n">
        <x:v>0.012550121346417642</x:v>
      </x:c>
      <x:c r="I60" s="22" t="n">
        <x:v>0.008177693362878548</x:v>
      </x:c>
      <x:c r="J60" s="22" t="n">
        <x:v>0.0034689247652210614</x:v>
      </x:c>
      <x:c r="K60" s="22" t="n">
        <x:v>0.0021631317927614225</x:v>
      </x:c>
      <x:c r="L60" s="22" t="n">
        <x:v>0.005928827688086947</x:v>
      </x:c>
      <x:c r="M60" s="22" t="n">
        <x:v>0.0004814287221694629</x:v>
      </x:c>
      <x:c r="N60" s="22" t="n">
        <x:v>0.0036601772712883825</x:v>
      </x:c>
      <x:c r="O60" s="22" t="n">
        <x:v>0.0015563997045478528</x:v>
      </x:c>
      <x:c r="P60" s="22" t="n">
        <x:v>0.0036469874432837395</x:v>
      </x:c>
      <x:c r="Q60" s="22" t="n">
        <x:v>0.00290176216102142</x:v>
      </x:c>
      <x:c r="R60" s="22" t="n">
        <x:v>0.002189511448770708</x:v>
      </x:c>
      <x:c r="S60" s="23" t="str">
        <x:v>PE000056</x:v>
      </x:c>
      <x:c r="T60" s="23" t="n">
        <x:v>151632</x:v>
      </x:c>
      <x:c r="U60" s="23" t="n">
        <x:f>SUM(H60:R60)</x:f>
        <x:v>0.04672496570644718</x:v>
      </x:c>
      <x:c r="V60" s="18" t="n">
        <x:f>ROUND(T60*U60,0)</x:f>
        <x:v>7085</x:v>
      </x:c>
      <x:c r="W60" s="18" t="str">
        <x:f>IF(ABS(G60-V60)&lt;=1,"OK","CHECK")</x:f>
        <x:v>OK</x:v>
      </x:c>
      <x:c r="X60" s="18" t="str">
        <x:f>IF(COUNTIF(ProductionReference!$A$5:$A$74,S60)=1,"OK","LINK ERROR")</x:f>
        <x:v>OK</x:v>
      </x:c>
      <x:c r="Y60" s="18" t="str">
        <x:f>IF(F60=INDEX(ProductionReference!$G$5:$G$74,MATCH(S60,ProductionReference!$A$5:$A$74,0)),"OK","CASE MISMATCH")</x:f>
        <x:v>OK</x:v>
      </x:c>
      <x:c r="Z60" s="18" t="str">
        <x:f>IF(COUNTIFS($A$5:$A$74,A60,$B$5:$B$74,B60,$C$5:$C$74,C60,$D$5:$D$74,D60,$E$5:$E$74,E60)=1,"OK","DUPLICATE")</x:f>
        <x:v>OK</x:v>
      </x:c>
    </x:row>
    <x:row r="61">
      <x:c r="A61" s="13" t="str">
        <x:v>KG01</x:v>
      </x:c>
      <x:c r="B61" s="13" t="n">
        <x:v>25</x:v>
      </x:c>
      <x:c r="C61" s="20" t="n">
        <x:v>45950</x:v>
      </x:c>
      <x:c r="D61" s="13" t="str">
        <x:v>AM</x:v>
      </x:c>
      <x:c r="E61" s="13" t="str">
        <x:v>ORD-2025-00161</x:v>
      </x:c>
      <x:c r="F61" s="13" t="str">
        <x:v>Normal</x:v>
      </x:c>
      <x:c r="G61" s="13" t="n">
        <x:v>2749</x:v>
      </x:c>
      <x:c r="H61" s="22" t="n">
        <x:v>0.003159515717926933</x:v>
      </x:c>
      <x:c r="I61" s="22" t="n">
        <x:v>0.006646488246955537</x:v>
      </x:c>
      <x:c r="J61" s="22" t="n">
        <x:v>0.002708156329651657</x:v>
      </x:c>
      <x:c r="K61" s="22" t="n">
        <x:v>0.0010089209855564996</x:v>
      </x:c>
      <x:c r="L61" s="22" t="n">
        <x:v>0.002062092891532144</x:v>
      </x:c>
      <x:c r="M61" s="22" t="n">
        <x:v>0.0010089209855564996</x:v>
      </x:c>
      <x:c r="N61" s="22" t="n">
        <x:v>0.0008142169357122629</x:v>
      </x:c>
      <x:c r="O61" s="22" t="n">
        <x:v>0.0013540781648258284</x:v>
      </x:c>
      <x:c r="P61" s="22" t="n">
        <x:v>0.0021505947323704334</x:v>
      </x:c>
      <x:c r="Q61" s="22" t="n">
        <x:v>0.002336448598130841</x:v>
      </x:c>
      <x:c r="R61" s="22" t="n">
        <x:v>0.0010797224582271311</x:v>
      </x:c>
      <x:c r="S61" s="23" t="str">
        <x:v>PE000057</x:v>
      </x:c>
      <x:c r="T61" s="23" t="n">
        <x:v>112992</x:v>
      </x:c>
      <x:c r="U61" s="23" t="n">
        <x:f>SUM(H61:R61)</x:f>
        <x:v>0.02432915604644577</x:v>
      </x:c>
      <x:c r="V61" s="18" t="n">
        <x:f>ROUND(T61*U61,0)</x:f>
        <x:v>2749</x:v>
      </x:c>
      <x:c r="W61" s="18" t="str">
        <x:f>IF(ABS(G61-V61)&lt;=1,"OK","CHECK")</x:f>
        <x:v>OK</x:v>
      </x:c>
      <x:c r="X61" s="18" t="str">
        <x:f>IF(COUNTIF(ProductionReference!$A$5:$A$74,S61)=1,"OK","LINK ERROR")</x:f>
        <x:v>OK</x:v>
      </x:c>
      <x:c r="Y61" s="18" t="str">
        <x:f>IF(F61=INDEX(ProductionReference!$G$5:$G$74,MATCH(S61,ProductionReference!$A$5:$A$74,0)),"OK","CASE MISMATCH")</x:f>
        <x:v>OK</x:v>
      </x:c>
      <x:c r="Z61" s="18" t="str">
        <x:f>IF(COUNTIFS($A$5:$A$74,A61,$B$5:$B$74,B61,$C$5:$C$74,C61,$D$5:$D$74,D61,$E$5:$E$74,E61)=1,"OK","DUPLICATE")</x:f>
        <x:v>OK</x:v>
      </x:c>
    </x:row>
    <x:row r="62">
      <x:c r="A62" s="13" t="str">
        <x:v>KG01</x:v>
      </x:c>
      <x:c r="B62" s="13" t="n">
        <x:v>25</x:v>
      </x:c>
      <x:c r="C62" s="20" t="n">
        <x:v>45950</x:v>
      </x:c>
      <x:c r="D62" s="13" t="str">
        <x:v>PM</x:v>
      </x:c>
      <x:c r="E62" s="13" t="str">
        <x:v>ORD-2025-00161</x:v>
      </x:c>
      <x:c r="F62" s="13" t="str">
        <x:v>Normal</x:v>
      </x:c>
      <x:c r="G62" s="13" t="n">
        <x:v>5916</x:v>
      </x:c>
      <x:c r="H62" s="22" t="n">
        <x:v>0.004547742306586137</x:v>
      </x:c>
      <x:c r="I62" s="22" t="n">
        <x:v>0.011881650848432557</x:v>
      </x:c>
      <x:c r="J62" s="22" t="n">
        <x:v>0.003379350014380213</x:v>
      </x:c>
      <x:c r="K62" s="22" t="n">
        <x:v>0.00386468219729652</x:v>
      </x:c>
      <x:c r="L62" s="22" t="n">
        <x:v>0.0026154012079378777</x:v>
      </x:c>
      <x:c r="M62" s="22" t="n">
        <x:v>0.0029569312625826864</x:v>
      </x:c>
      <x:c r="N62" s="22" t="n">
        <x:v>0.0014470089157319528</x:v>
      </x:c>
      <x:c r="O62" s="22" t="n">
        <x:v>0.002759203336209376</x:v>
      </x:c>
      <x:c r="P62" s="22" t="n">
        <x:v>0.003702904802991084</x:v>
      </x:c>
      <x:c r="Q62" s="22" t="n">
        <x:v>0.012438884095484614</x:v>
      </x:c>
      <x:c r="R62" s="22" t="n">
        <x:v>0.003577077940753523</x:v>
      </x:c>
      <x:c r="S62" s="23" t="str">
        <x:v>PE000058</x:v>
      </x:c>
      <x:c r="T62" s="23" t="n">
        <x:v>111264</x:v>
      </x:c>
      <x:c r="U62" s="23" t="n">
        <x:f>SUM(H62:R62)</x:f>
        <x:v>0.05317083692838654</x:v>
      </x:c>
      <x:c r="V62" s="18" t="n">
        <x:f>ROUND(T62*U62,0)</x:f>
        <x:v>5916</x:v>
      </x:c>
      <x:c r="W62" s="18" t="str">
        <x:f>IF(ABS(G62-V62)&lt;=1,"OK","CHECK")</x:f>
        <x:v>OK</x:v>
      </x:c>
      <x:c r="X62" s="18" t="str">
        <x:f>IF(COUNTIF(ProductionReference!$A$5:$A$74,S62)=1,"OK","LINK ERROR")</x:f>
        <x:v>OK</x:v>
      </x:c>
      <x:c r="Y62" s="18" t="str">
        <x:f>IF(F62=INDEX(ProductionReference!$G$5:$G$74,MATCH(S62,ProductionReference!$A$5:$A$74,0)),"OK","CASE MISMATCH")</x:f>
        <x:v>OK</x:v>
      </x:c>
      <x:c r="Z62" s="18" t="str">
        <x:f>IF(COUNTIFS($A$5:$A$74,A62,$B$5:$B$74,B62,$C$5:$C$74,C62,$D$5:$D$74,D62,$E$5:$E$74,E62)=1,"OK","DUPLICATE")</x:f>
        <x:v>OK</x:v>
      </x:c>
    </x:row>
    <x:row r="63">
      <x:c r="A63" s="13" t="str">
        <x:v>KG01</x:v>
      </x:c>
      <x:c r="B63" s="13" t="n">
        <x:v>25</x:v>
      </x:c>
      <x:c r="C63" s="20" t="n">
        <x:v>45951</x:v>
      </x:c>
      <x:c r="D63" s="13" t="str">
        <x:v>AM</x:v>
      </x:c>
      <x:c r="E63" s="13" t="str">
        <x:v>ORD-2025-00161</x:v>
      </x:c>
      <x:c r="F63" s="13" t="str">
        <x:v>Normal</x:v>
      </x:c>
      <x:c r="G63" s="13" t="n">
        <x:v>5268</x:v>
      </x:c>
      <x:c r="H63" s="22" t="n">
        <x:v>0.007667213627129239</x:v>
      </x:c>
      <x:c r="I63" s="22" t="n">
        <x:v>0.008253242694170965</x:v>
      </x:c>
      <x:c r="J63" s="22" t="n">
        <x:v>0.0027152680106266604</x:v>
      </x:c>
      <x:c r="K63" s="22" t="n">
        <x:v>0.0047761368963900605</x:v>
      </x:c>
      <x:c r="L63" s="22" t="n">
        <x:v>0.002119471792467573</x:v>
      </x:c>
      <x:c r="M63" s="22" t="n">
        <x:v>0.0018166901078293482</x:v>
      </x:c>
      <x:c r="N63" s="22" t="n">
        <x:v>0.0036333802156586965</x:v>
      </x:c>
      <x:c r="O63" s="22" t="n">
        <x:v>0.0014943741209563993</x:v>
      </x:c>
      <x:c r="P63" s="22" t="n">
        <x:v>0.004492889513986561</x:v>
      </x:c>
      <x:c r="Q63" s="22" t="n">
        <x:v>0.011115017971558056</x:v>
      </x:c>
      <x:c r="R63" s="22" t="n">
        <x:v>0.0033696671354899203</x:v>
      </x:c>
      <x:c r="S63" s="23" t="str">
        <x:v>PE000059</x:v>
      </x:c>
      <x:c r="T63" s="23" t="n">
        <x:v>102384</x:v>
      </x:c>
      <x:c r="U63" s="23" t="n">
        <x:f>SUM(H63:R63)</x:f>
        <x:v>0.051453352086263476</x:v>
      </x:c>
      <x:c r="V63" s="18" t="n">
        <x:f>ROUND(T63*U63,0)</x:f>
        <x:v>5268</x:v>
      </x:c>
      <x:c r="W63" s="18" t="str">
        <x:f>IF(ABS(G63-V63)&lt;=1,"OK","CHECK")</x:f>
        <x:v>OK</x:v>
      </x:c>
      <x:c r="X63" s="18" t="str">
        <x:f>IF(COUNTIF(ProductionReference!$A$5:$A$74,S63)=1,"OK","LINK ERROR")</x:f>
        <x:v>OK</x:v>
      </x:c>
      <x:c r="Y63" s="18" t="str">
        <x:f>IF(F63=INDEX(ProductionReference!$G$5:$G$74,MATCH(S63,ProductionReference!$A$5:$A$74,0)),"OK","CASE MISMATCH")</x:f>
        <x:v>OK</x:v>
      </x:c>
      <x:c r="Z63" s="18" t="str">
        <x:f>IF(COUNTIFS($A$5:$A$74,A63,$B$5:$B$74,B63,$C$5:$C$74,C63,$D$5:$D$74,D63,$E$5:$E$74,E63)=1,"OK","DUPLICATE")</x:f>
        <x:v>OK</x:v>
      </x:c>
    </x:row>
    <x:row r="64">
      <x:c r="A64" s="13" t="str">
        <x:v>KG01</x:v>
      </x:c>
      <x:c r="B64" s="13" t="n">
        <x:v>25</x:v>
      </x:c>
      <x:c r="C64" s="20" t="n">
        <x:v>45951</x:v>
      </x:c>
      <x:c r="D64" s="13" t="str">
        <x:v>PM</x:v>
      </x:c>
      <x:c r="E64" s="13" t="str">
        <x:v>ORD-2025-00161</x:v>
      </x:c>
      <x:c r="F64" s="13" t="str">
        <x:v>Normal</x:v>
      </x:c>
      <x:c r="G64" s="13" t="n">
        <x:v>5792</x:v>
      </x:c>
      <x:c r="H64" s="22" t="n">
        <x:v>0.008312127256113737</x:v>
      </x:c>
      <x:c r="I64" s="22" t="n">
        <x:v>0.008233525579932992</x:v>
      </x:c>
      <x:c r="J64" s="22" t="n">
        <x:v>0.006612366008705135</x:v>
      </x:c>
      <x:c r="K64" s="22" t="n">
        <x:v>0.005678971104058794</x:v>
      </x:c>
      <x:c r="L64" s="22" t="n">
        <x:v>0.002436651961603081</x:v>
      </x:c>
      <x:c r="M64" s="22" t="n">
        <x:v>0.0018569645997700902</x:v>
      </x:c>
      <x:c r="N64" s="22" t="n">
        <x:v>0.0011888503522337614</x:v>
      </x:c>
      <x:c r="O64" s="22" t="n">
        <x:v>0.0020436435806993583</x:v>
      </x:c>
      <x:c r="P64" s="22" t="n">
        <x:v>0.0032914451900686783</x:v>
      </x:c>
      <x:c r="Q64" s="22" t="n">
        <x:v>0.0109158077796009</x:v>
      </x:c>
      <x:c r="R64" s="22" t="n">
        <x:v>0.00633726014207253</x:v>
      </x:c>
      <x:c r="S64" s="23" t="str">
        <x:v>PE000060</x:v>
      </x:c>
      <x:c r="T64" s="23" t="n">
        <x:v>101779</x:v>
      </x:c>
      <x:c r="U64" s="23" t="n">
        <x:f>SUM(H64:R64)</x:f>
        <x:v>0.05690761355485907</x:v>
      </x:c>
      <x:c r="V64" s="18" t="n">
        <x:f>ROUND(T64*U64,0)</x:f>
        <x:v>5792</x:v>
      </x:c>
      <x:c r="W64" s="18" t="str">
        <x:f>IF(ABS(G64-V64)&lt;=1,"OK","CHECK")</x:f>
        <x:v>OK</x:v>
      </x:c>
      <x:c r="X64" s="18" t="str">
        <x:f>IF(COUNTIF(ProductionReference!$A$5:$A$74,S64)=1,"OK","LINK ERROR")</x:f>
        <x:v>OK</x:v>
      </x:c>
      <x:c r="Y64" s="18" t="str">
        <x:f>IF(F64=INDEX(ProductionReference!$G$5:$G$74,MATCH(S64,ProductionReference!$A$5:$A$74,0)),"OK","CASE MISMATCH")</x:f>
        <x:v>OK</x:v>
      </x:c>
      <x:c r="Z64" s="18" t="str">
        <x:f>IF(COUNTIFS($A$5:$A$74,A64,$B$5:$B$74,B64,$C$5:$C$74,C64,$D$5:$D$74,D64,$E$5:$E$74,E64)=1,"OK","DUPLICATE")</x:f>
        <x:v>OK</x:v>
      </x:c>
    </x:row>
    <x:row r="65">
      <x:c r="A65" s="13" t="str">
        <x:v>KG01</x:v>
      </x:c>
      <x:c r="B65" s="13" t="n">
        <x:v>25</x:v>
      </x:c>
      <x:c r="C65" s="20" t="n">
        <x:v>45952</x:v>
      </x:c>
      <x:c r="D65" s="13" t="str">
        <x:v>AM</x:v>
      </x:c>
      <x:c r="E65" s="13" t="str">
        <x:v>ORD-2025-00161</x:v>
      </x:c>
      <x:c r="F65" s="13" t="str">
        <x:v>Normal</x:v>
      </x:c>
      <x:c r="G65" s="13" t="n">
        <x:v>4270</x:v>
      </x:c>
      <x:c r="H65" s="22" t="n">
        <x:v>0.00604917983203444</x:v>
      </x:c>
      <x:c r="I65" s="22" t="n">
        <x:v>0.009477048403520623</x:v>
      </x:c>
      <x:c r="J65" s="22" t="n">
        <x:v>0.0035690161009003197</x:v>
      </x:c>
      <x:c r="K65" s="22" t="n">
        <x:v>0.002207950638692571</x:v>
      </x:c>
      <x:c r="L65" s="22" t="n">
        <x:v>0.0068154092774254695</x:v>
      </x:c>
      <x:c r="M65" s="22" t="n">
        <x:v>0.0032161472773649773</x:v>
      </x:c>
      <x:c r="N65" s="22" t="n">
        <x:v>0.002258360470626191</x:v>
      </x:c>
      <x:c r="O65" s="22" t="n">
        <x:v>0.0017139342857430914</x:v>
      </x:c>
      <x:c r="P65" s="22" t="n">
        <x:v>0.0038412291933418692</x:v>
      </x:c>
      <x:c r="Q65" s="22" t="n">
        <x:v>0.0027725407563491183</x:v>
      </x:c>
      <x:c r="R65" s="22" t="n">
        <x:v>0.0011291802353130954</x:v>
      </x:c>
      <x:c r="S65" s="23" t="str">
        <x:v>PE000061</x:v>
      </x:c>
      <x:c r="T65" s="23" t="n">
        <x:v>99187</x:v>
      </x:c>
      <x:c r="U65" s="23" t="n">
        <x:f>SUM(H65:R65)</x:f>
        <x:v>0.04304999647131177</x:v>
      </x:c>
      <x:c r="V65" s="18" t="n">
        <x:f>ROUND(T65*U65,0)</x:f>
        <x:v>4270</x:v>
      </x:c>
      <x:c r="W65" s="18" t="str">
        <x:f>IF(ABS(G65-V65)&lt;=1,"OK","CHECK")</x:f>
        <x:v>OK</x:v>
      </x:c>
      <x:c r="X65" s="18" t="str">
        <x:f>IF(COUNTIF(ProductionReference!$A$5:$A$74,S65)=1,"OK","LINK ERROR")</x:f>
        <x:v>OK</x:v>
      </x:c>
      <x:c r="Y65" s="18" t="str">
        <x:f>IF(F65=INDEX(ProductionReference!$G$5:$G$74,MATCH(S65,ProductionReference!$A$5:$A$74,0)),"OK","CASE MISMATCH")</x:f>
        <x:v>OK</x:v>
      </x:c>
      <x:c r="Z65" s="18" t="str">
        <x:f>IF(COUNTIFS($A$5:$A$74,A65,$B$5:$B$74,B65,$C$5:$C$74,C65,$D$5:$D$74,D65,$E$5:$E$74,E65)=1,"OK","DUPLICATE")</x:f>
        <x:v>OK</x:v>
      </x:c>
    </x:row>
    <x:row r="66">
      <x:c r="A66" s="13" t="str">
        <x:v>KG01</x:v>
      </x:c>
      <x:c r="B66" s="13" t="n">
        <x:v>25</x:v>
      </x:c>
      <x:c r="C66" s="20" t="n">
        <x:v>45952</x:v>
      </x:c>
      <x:c r="D66" s="13" t="str">
        <x:v>PM</x:v>
      </x:c>
      <x:c r="E66" s="13" t="str">
        <x:v>ORD-2025-00161</x:v>
      </x:c>
      <x:c r="F66" s="13" t="str">
        <x:v>Normal</x:v>
      </x:c>
      <x:c r="G66" s="13" t="n">
        <x:v>6183</x:v>
      </x:c>
      <x:c r="H66" s="22" t="n">
        <x:v>0.0095043854801925</x:v>
      </x:c>
      <x:c r="I66" s="22" t="n">
        <x:v>0.01568324073422885</x:v>
      </x:c>
      <x:c r="J66" s="22" t="n">
        <x:v>0.006751529643434841</x:v>
      </x:c>
      <x:c r="K66" s="22" t="n">
        <x:v>0.0033456240643806577</x:v>
      </x:c>
      <x:c r="L66" s="22" t="n">
        <x:v>0.004410597490279606</x:v>
      </x:c>
      <x:c r="M66" s="22" t="n">
        <x:v>0.0007133312569700502</x:v>
      </x:c>
      <x:c r="N66" s="22" t="n">
        <x:v>0.0023811198296042517</x:v>
      </x:c>
      <x:c r="O66" s="22" t="n">
        <x:v>0.002531823616288065</x:v>
      </x:c>
      <x:c r="P66" s="22" t="n">
        <x:v>0.0013864748374910834</x:v>
      </x:c>
      <x:c r="Q66" s="22" t="n">
        <x:v>0.009956496840243939</x:v>
      </x:c>
      <x:c r="R66" s="22" t="n">
        <x:v>0.005455477077954045</x:v>
      </x:c>
      <x:c r="S66" s="23" t="str">
        <x:v>PE000062</x:v>
      </x:c>
      <x:c r="T66" s="23" t="n">
        <x:v>99533</x:v>
      </x:c>
      <x:c r="U66" s="23" t="n">
        <x:f>SUM(H66:R66)</x:f>
        <x:v>0.06212010087106788</x:v>
      </x:c>
      <x:c r="V66" s="18" t="n">
        <x:f>ROUND(T66*U66,0)</x:f>
        <x:v>6183</x:v>
      </x:c>
      <x:c r="W66" s="18" t="str">
        <x:f>IF(ABS(G66-V66)&lt;=1,"OK","CHECK")</x:f>
        <x:v>OK</x:v>
      </x:c>
      <x:c r="X66" s="18" t="str">
        <x:f>IF(COUNTIF(ProductionReference!$A$5:$A$74,S66)=1,"OK","LINK ERROR")</x:f>
        <x:v>OK</x:v>
      </x:c>
      <x:c r="Y66" s="18" t="str">
        <x:f>IF(F66=INDEX(ProductionReference!$G$5:$G$74,MATCH(S66,ProductionReference!$A$5:$A$74,0)),"OK","CASE MISMATCH")</x:f>
        <x:v>OK</x:v>
      </x:c>
      <x:c r="Z66" s="18" t="str">
        <x:f>IF(COUNTIFS($A$5:$A$74,A66,$B$5:$B$74,B66,$C$5:$C$74,C66,$D$5:$D$74,D66,$E$5:$E$74,E66)=1,"OK","DUPLICATE")</x:f>
        <x:v>OK</x:v>
      </x:c>
    </x:row>
    <x:row r="67">
      <x:c r="A67" s="13" t="str">
        <x:v>KG01</x:v>
      </x:c>
      <x:c r="B67" s="13" t="n">
        <x:v>25</x:v>
      </x:c>
      <x:c r="C67" s="20" t="n">
        <x:v>45953</x:v>
      </x:c>
      <x:c r="D67" s="13" t="str">
        <x:v>AM</x:v>
      </x:c>
      <x:c r="E67" s="13" t="str">
        <x:v>ORD-2025-00162</x:v>
      </x:c>
      <x:c r="F67" s="13" t="str">
        <x:v>Normal</x:v>
      </x:c>
      <x:c r="G67" s="13" t="n">
        <x:v>6613</x:v>
      </x:c>
      <x:c r="H67" s="22" t="n">
        <x:v>0.008455577190110853</x:v>
      </x:c>
      <x:c r="I67" s="22" t="n">
        <x:v>0.011643872809501276</x:v>
      </x:c>
      <x:c r="J67" s="22" t="n">
        <x:v>0.0016368135661590734</x:v>
      </x:c>
      <x:c r="K67" s="22" t="n">
        <x:v>0.0014273634889728412</x:v>
      </x:c>
      <x:c r="L67" s="22" t="n">
        <x:v>0.005515518699237446</x:v>
      </x:c>
      <x:c r="M67" s="22" t="n">
        <x:v>0.0026375194904932936</x:v>
      </x:c>
      <x:c r="N67" s="22" t="n">
        <x:v>0.0027538806444856448</x:v>
      </x:c>
      <x:c r="O67" s="22" t="n">
        <x:v>0.0005042316673001885</x:v>
      </x:c>
      <x:c r="P67" s="22" t="n">
        <x:v>0.006981669239541071</x:v>
      </x:c>
      <x:c r="Q67" s="22" t="n">
        <x:v>0.0037235569277552383</x:v>
      </x:c>
      <x:c r="R67" s="22" t="n">
        <x:v>0.006019750366537635</x:v>
      </x:c>
      <x:c r="S67" s="23" t="str">
        <x:v>PE000063</x:v>
      </x:c>
      <x:c r="T67" s="23" t="n">
        <x:v>128909</x:v>
      </x:c>
      <x:c r="U67" s="23" t="n">
        <x:f>SUM(H67:R67)</x:f>
        <x:v>0.05129975409009456</x:v>
      </x:c>
      <x:c r="V67" s="18" t="n">
        <x:f>ROUND(T67*U67,0)</x:f>
        <x:v>6613</x:v>
      </x:c>
      <x:c r="W67" s="18" t="str">
        <x:f>IF(ABS(G67-V67)&lt;=1,"OK","CHECK")</x:f>
        <x:v>OK</x:v>
      </x:c>
      <x:c r="X67" s="18" t="str">
        <x:f>IF(COUNTIF(ProductionReference!$A$5:$A$74,S67)=1,"OK","LINK ERROR")</x:f>
        <x:v>OK</x:v>
      </x:c>
      <x:c r="Y67" s="18" t="str">
        <x:f>IF(F67=INDEX(ProductionReference!$G$5:$G$74,MATCH(S67,ProductionReference!$A$5:$A$74,0)),"OK","CASE MISMATCH")</x:f>
        <x:v>OK</x:v>
      </x:c>
      <x:c r="Z67" s="18" t="str">
        <x:f>IF(COUNTIFS($A$5:$A$74,A67,$B$5:$B$74,B67,$C$5:$C$74,C67,$D$5:$D$74,D67,$E$5:$E$74,E67)=1,"OK","DUPLICATE")</x:f>
        <x:v>OK</x:v>
      </x:c>
    </x:row>
    <x:row r="68">
      <x:c r="A68" s="13" t="str">
        <x:v>KG01</x:v>
      </x:c>
      <x:c r="B68" s="13" t="n">
        <x:v>25</x:v>
      </x:c>
      <x:c r="C68" s="20" t="n">
        <x:v>45953</x:v>
      </x:c>
      <x:c r="D68" s="13" t="str">
        <x:v>PM</x:v>
      </x:c>
      <x:c r="E68" s="13" t="str">
        <x:v>ORD-2025-00162</x:v>
      </x:c>
      <x:c r="F68" s="13" t="str">
        <x:v>Normal</x:v>
      </x:c>
      <x:c r="G68" s="13" t="n">
        <x:v>12718</x:v>
      </x:c>
      <x:c r="H68" s="22" t="n">
        <x:v>0.006497202173792603</x:v>
      </x:c>
      <x:c r="I68" s="22" t="n">
        <x:v>0.010380413705570973</x:v>
      </x:c>
      <x:c r="J68" s="22" t="n">
        <x:v>0.0032334913143991094</x:v>
      </x:c>
      <x:c r="K68" s="22" t="n">
        <x:v>0.004900602879922638</x:v>
      </x:c>
      <x:c r="L68" s="22" t="n">
        <x:v>0.0066936292162561</x:v>
      </x:c>
      <x:c r="M68" s="22" t="n">
        <x:v>0.0051423592398777114</x:v>
      </x:c>
      <x:c r="N68" s="22" t="n">
        <x:v>0.005540249915637103</x:v>
      </x:c>
      <x:c r="O68" s="22" t="n">
        <x:v>0.007635471701914408</x:v>
      </x:c>
      <x:c r="P68" s="22" t="n">
        <x:v>0.005797116048089369</x:v>
      </x:c>
      <x:c r="Q68" s="22" t="n">
        <x:v>0.0032838572227230833</x:v>
      </x:c>
      <x:c r="R68" s="22" t="n">
        <x:v>0.004950968788246611</x:v>
      </x:c>
      <x:c r="S68" s="23" t="str">
        <x:v>PE000064</x:v>
      </x:c>
      <x:c r="T68" s="23" t="n">
        <x:v>198547</x:v>
      </x:c>
      <x:c r="U68" s="23" t="n">
        <x:f>SUM(H68:R68)</x:f>
        <x:v>0.06405536220642971</x:v>
      </x:c>
      <x:c r="V68" s="18" t="n">
        <x:f>ROUND(T68*U68,0)</x:f>
        <x:v>12718</x:v>
      </x:c>
      <x:c r="W68" s="18" t="str">
        <x:f>IF(ABS(G68-V68)&lt;=1,"OK","CHECK")</x:f>
        <x:v>OK</x:v>
      </x:c>
      <x:c r="X68" s="18" t="str">
        <x:f>IF(COUNTIF(ProductionReference!$A$5:$A$74,S68)=1,"OK","LINK ERROR")</x:f>
        <x:v>OK</x:v>
      </x:c>
      <x:c r="Y68" s="18" t="str">
        <x:f>IF(F68=INDEX(ProductionReference!$G$5:$G$74,MATCH(S68,ProductionReference!$A$5:$A$74,0)),"OK","CASE MISMATCH")</x:f>
        <x:v>OK</x:v>
      </x:c>
      <x:c r="Z68" s="18" t="str">
        <x:f>IF(COUNTIFS($A$5:$A$74,A68,$B$5:$B$74,B68,$C$5:$C$74,C68,$D$5:$D$74,D68,$E$5:$E$74,E68)=1,"OK","DUPLICATE")</x:f>
        <x:v>OK</x:v>
      </x:c>
    </x:row>
    <x:row r="69">
      <x:c r="A69" s="13" t="str">
        <x:v>KG01</x:v>
      </x:c>
      <x:c r="B69" s="13" t="n">
        <x:v>25</x:v>
      </x:c>
      <x:c r="C69" s="20" t="n">
        <x:v>45954</x:v>
      </x:c>
      <x:c r="D69" s="13" t="str">
        <x:v>AM</x:v>
      </x:c>
      <x:c r="E69" s="13" t="str">
        <x:v>ORD-2025-00162</x:v>
      </x:c>
      <x:c r="F69" s="13" t="str">
        <x:v>Normal</x:v>
      </x:c>
      <x:c r="G69" s="13" t="n">
        <x:v>10139</x:v>
      </x:c>
      <x:c r="H69" s="22" t="n">
        <x:v>0.0053414685781596905</x:v>
      </x:c>
      <x:c r="I69" s="22" t="n">
        <x:v>0.013511092775446615</x:v>
      </x:c>
      <x:c r="J69" s="22" t="n">
        <x:v>0.005173190604660757</x:v>
      </x:c>
      <x:c r="K69" s="22" t="n">
        <x:v>0.0035121241565745118</x:v>
      </x:c>
      <x:c r="L69" s="22" t="n">
        <x:v>0.00451636367584234</x:v>
      </x:c>
      <x:c r="M69" s="22" t="n">
        <x:v>0.003365559469978667</x:v>
      </x:c>
      <x:c r="N69" s="22" t="n">
        <x:v>0.0029367220536426755</x:v>
      </x:c>
      <x:c r="O69" s="22" t="n">
        <x:v>0.00231246505517889</x:v>
      </x:c>
      <x:c r="P69" s="22" t="n">
        <x:v>0.003647832199718813</x:v>
      </x:c>
      <x:c r="Q69" s="22" t="n">
        <x:v>0.007442229086033471</x:v>
      </x:c>
      <x:c r="R69" s="22" t="n">
        <x:v>0.003278706322366314</x:v>
      </x:c>
      <x:c r="S69" s="23" t="str">
        <x:v>PE000065</x:v>
      </x:c>
      <x:c r="T69" s="23" t="n">
        <x:v>184219</x:v>
      </x:c>
      <x:c r="U69" s="23" t="n">
        <x:f>SUM(H69:R69)</x:f>
        <x:v>0.05503775397760275</x:v>
      </x:c>
      <x:c r="V69" s="18" t="n">
        <x:f>ROUND(T69*U69,0)</x:f>
        <x:v>10139</x:v>
      </x:c>
      <x:c r="W69" s="18" t="str">
        <x:f>IF(ABS(G69-V69)&lt;=1,"OK","CHECK")</x:f>
        <x:v>OK</x:v>
      </x:c>
      <x:c r="X69" s="18" t="str">
        <x:f>IF(COUNTIF(ProductionReference!$A$5:$A$74,S69)=1,"OK","LINK ERROR")</x:f>
        <x:v>OK</x:v>
      </x:c>
      <x:c r="Y69" s="18" t="str">
        <x:f>IF(F69=INDEX(ProductionReference!$G$5:$G$74,MATCH(S69,ProductionReference!$A$5:$A$74,0)),"OK","CASE MISMATCH")</x:f>
        <x:v>OK</x:v>
      </x:c>
      <x:c r="Z69" s="18" t="str">
        <x:f>IF(COUNTIFS($A$5:$A$74,A69,$B$5:$B$74,B69,$C$5:$C$74,C69,$D$5:$D$74,D69,$E$5:$E$74,E69)=1,"OK","DUPLICATE")</x:f>
        <x:v>OK</x:v>
      </x:c>
    </x:row>
    <x:row r="70">
      <x:c r="A70" s="13" t="str">
        <x:v>KG01</x:v>
      </x:c>
      <x:c r="B70" s="13" t="n">
        <x:v>25</x:v>
      </x:c>
      <x:c r="C70" s="20" t="n">
        <x:v>45954</x:v>
      </x:c>
      <x:c r="D70" s="13" t="str">
        <x:v>PM</x:v>
      </x:c>
      <x:c r="E70" s="13" t="str">
        <x:v>ORD-2025-00162</x:v>
      </x:c>
      <x:c r="F70" s="13" t="str">
        <x:v>Normal</x:v>
      </x:c>
      <x:c r="G70" s="13" t="n">
        <x:v>11342</x:v>
      </x:c>
      <x:c r="H70" s="22" t="n">
        <x:v>0.009308988702842264</x:v>
      </x:c>
      <x:c r="I70" s="22" t="n">
        <x:v>0.011177322889544955</x:v>
      </x:c>
      <x:c r="J70" s="22" t="n">
        <x:v>0.013726536881897313</x:v>
      </x:c>
      <x:c r="K70" s="22" t="n">
        <x:v>0.0010349373045874957</x:v>
      </x:c>
      <x:c r="L70" s="22" t="n">
        <x:v>0.005485167714313728</x:v>
      </x:c>
      <x:c r="M70" s="22" t="n">
        <x:v>0.0016286644951140066</x:v>
      </x:c>
      <x:c r="N70" s="22" t="n">
        <x:v>0.001399888880415718</x:v>
      </x:c>
      <x:c r="O70" s="22" t="n">
        <x:v>0.0017484993409083481</x:v>
      </x:c>
      <x:c r="P70" s="22" t="n">
        <x:v>0.0028106718377218305</x:v>
      </x:c>
      <x:c r="Q70" s="22" t="n">
        <x:v>0.007783817938187007</x:v>
      </x:c>
      <x:c r="R70" s="22" t="n">
        <x:v>0.005675814059895635</x:v>
      </x:c>
      <x:c r="S70" s="23" t="str">
        <x:v>PE000066</x:v>
      </x:c>
      <x:c r="T70" s="23" t="n">
        <x:v>183586</x:v>
      </x:c>
      <x:c r="U70" s="23" t="n">
        <x:f>SUM(H70:R70)</x:f>
        <x:v>0.061780310045428305</x:v>
      </x:c>
      <x:c r="V70" s="18" t="n">
        <x:f>ROUND(T70*U70,0)</x:f>
        <x:v>11342</x:v>
      </x:c>
      <x:c r="W70" s="18" t="str">
        <x:f>IF(ABS(G70-V70)&lt;=1,"OK","CHECK")</x:f>
        <x:v>OK</x:v>
      </x:c>
      <x:c r="X70" s="18" t="str">
        <x:f>IF(COUNTIF(ProductionReference!$A$5:$A$74,S70)=1,"OK","LINK ERROR")</x:f>
        <x:v>OK</x:v>
      </x:c>
      <x:c r="Y70" s="18" t="str">
        <x:f>IF(F70=INDEX(ProductionReference!$G$5:$G$74,MATCH(S70,ProductionReference!$A$5:$A$74,0)),"OK","CASE MISMATCH")</x:f>
        <x:v>OK</x:v>
      </x:c>
      <x:c r="Z70" s="18" t="str">
        <x:f>IF(COUNTIFS($A$5:$A$74,A70,$B$5:$B$74,B70,$C$5:$C$74,C70,$D$5:$D$74,D70,$E$5:$E$74,E70)=1,"OK","DUPLICATE")</x:f>
        <x:v>OK</x:v>
      </x:c>
    </x:row>
    <x:row r="71">
      <x:c r="A71" s="13" t="str">
        <x:v>KG01</x:v>
      </x:c>
      <x:c r="B71" s="13" t="n">
        <x:v>25</x:v>
      </x:c>
      <x:c r="C71" s="20" t="n">
        <x:v>45955</x:v>
      </x:c>
      <x:c r="D71" s="13" t="str">
        <x:v>AM</x:v>
      </x:c>
      <x:c r="E71" s="13" t="str">
        <x:v>ORD-2025-00162</x:v>
      </x:c>
      <x:c r="F71" s="13" t="str">
        <x:v>Normal</x:v>
      </x:c>
      <x:c r="G71" s="13" t="n">
        <x:v>9330</x:v>
      </x:c>
      <x:c r="H71" s="22" t="n">
        <x:v>0.010208212523386983</x:v>
      </x:c>
      <x:c r="I71" s="22" t="n">
        <x:v>0.014086895631147631</x:v>
      </x:c>
      <x:c r="J71" s="22" t="n">
        <x:v>0.0012308937930128998</x:v>
      </x:c>
      <x:c r="K71" s="22" t="n">
        <x:v>0.0013403065746140463</x:v>
      </x:c>
      <x:c r="L71" s="22" t="n">
        <x:v>0.007232184863835794</x:v>
      </x:c>
      <x:c r="M71" s="22" t="n">
        <x:v>0.0020460190159414422</x:v>
      </x:c>
      <x:c r="N71" s="22" t="n">
        <x:v>0.0029377331859907875</x:v>
      </x:c>
      <x:c r="O71" s="22" t="n">
        <x:v>0.0013348359355339892</x:v>
      </x:c>
      <x:c r="P71" s="22" t="n">
        <x:v>0.0005908290206461919</x:v>
      </x:c>
      <x:c r="Q71" s="22" t="n">
        <x:v>0.0067234154293904615</x:v>
      </x:c>
      <x:c r="R71" s="22" t="n">
        <x:v>0.003309736643434686</x:v>
      </x:c>
      <x:c r="S71" s="23" t="str">
        <x:v>PE000067</x:v>
      </x:c>
      <x:c r="T71" s="23" t="n">
        <x:v>182794</x:v>
      </x:c>
      <x:c r="U71" s="23" t="n">
        <x:f>SUM(H71:R71)</x:f>
        <x:v>0.05104106261693492</x:v>
      </x:c>
      <x:c r="V71" s="18" t="n">
        <x:f>ROUND(T71*U71,0)</x:f>
        <x:v>9330</x:v>
      </x:c>
      <x:c r="W71" s="18" t="str">
        <x:f>IF(ABS(G71-V71)&lt;=1,"OK","CHECK")</x:f>
        <x:v>OK</x:v>
      </x:c>
      <x:c r="X71" s="18" t="str">
        <x:f>IF(COUNTIF(ProductionReference!$A$5:$A$74,S71)=1,"OK","LINK ERROR")</x:f>
        <x:v>OK</x:v>
      </x:c>
      <x:c r="Y71" s="18" t="str">
        <x:f>IF(F71=INDEX(ProductionReference!$G$5:$G$74,MATCH(S71,ProductionReference!$A$5:$A$74,0)),"OK","CASE MISMATCH")</x:f>
        <x:v>OK</x:v>
      </x:c>
      <x:c r="Z71" s="18" t="str">
        <x:f>IF(COUNTIFS($A$5:$A$74,A71,$B$5:$B$74,B71,$C$5:$C$74,C71,$D$5:$D$74,D71,$E$5:$E$74,E71)=1,"OK","DUPLICATE")</x:f>
        <x:v>OK</x:v>
      </x:c>
    </x:row>
    <x:row r="72">
      <x:c r="A72" s="13" t="str">
        <x:v>KG01</x:v>
      </x:c>
      <x:c r="B72" s="13" t="n">
        <x:v>25</x:v>
      </x:c>
      <x:c r="C72" s="20" t="n">
        <x:v>45955</x:v>
      </x:c>
      <x:c r="D72" s="13" t="str">
        <x:v>PM</x:v>
      </x:c>
      <x:c r="E72" s="13" t="str">
        <x:v>ORD-2025-00162</x:v>
      </x:c>
      <x:c r="F72" s="13" t="str">
        <x:v>Normal</x:v>
      </x:c>
      <x:c r="G72" s="13" t="n">
        <x:v>6003</x:v>
      </x:c>
      <x:c r="H72" s="22" t="n">
        <x:v>0.00391230130146921</x:v>
      </x:c>
      <x:c r="I72" s="22" t="n">
        <x:v>0.005209823675096451</x:v>
      </x:c>
      <x:c r="J72" s="22" t="n">
        <x:v>0.0034633486931038905</x:v>
      </x:c>
      <x:c r="K72" s="22" t="n">
        <x:v>0.0015441996309708231</x:v>
      </x:c>
      <x:c r="L72" s="22" t="n">
        <x:v>0.003241339161494667</x:v>
      </x:c>
      <x:c r="M72" s="22" t="n">
        <x:v>0.0029354593623886253</x:v>
      </x:c>
      <x:c r="N72" s="22" t="n">
        <x:v>0.0007844336783525906</x:v>
      </x:c>
      <x:c r="O72" s="22" t="n">
        <x:v>0.002308899128735927</x:v>
      </x:c>
      <x:c r="P72" s="22" t="n">
        <x:v>0.0006808292302682862</x:v>
      </x:c>
      <x:c r="Q72" s="22" t="n">
        <x:v>0.00361135504751004</x:v>
      </x:c>
      <x:c r="R72" s="22" t="n">
        <x:v>0.0019240826072799391</x:v>
      </x:c>
      <x:c r="S72" s="23" t="str">
        <x:v>PE000068</x:v>
      </x:c>
      <x:c r="T72" s="23" t="n">
        <x:v>202694</x:v>
      </x:c>
      <x:c r="U72" s="23" t="n">
        <x:f>SUM(H72:R72)</x:f>
        <x:v>0.029616071516670447</x:v>
      </x:c>
      <x:c r="V72" s="18" t="n">
        <x:f>ROUND(T72*U72,0)</x:f>
        <x:v>6003</x:v>
      </x:c>
      <x:c r="W72" s="18" t="str">
        <x:f>IF(ABS(G72-V72)&lt;=1,"OK","CHECK")</x:f>
        <x:v>OK</x:v>
      </x:c>
      <x:c r="X72" s="18" t="str">
        <x:f>IF(COUNTIF(ProductionReference!$A$5:$A$74,S72)=1,"OK","LINK ERROR")</x:f>
        <x:v>OK</x:v>
      </x:c>
      <x:c r="Y72" s="18" t="str">
        <x:f>IF(F72=INDEX(ProductionReference!$G$5:$G$74,MATCH(S72,ProductionReference!$A$5:$A$74,0)),"OK","CASE MISMATCH")</x:f>
        <x:v>OK</x:v>
      </x:c>
      <x:c r="Z72" s="18" t="str">
        <x:f>IF(COUNTIFS($A$5:$A$74,A72,$B$5:$B$74,B72,$C$5:$C$74,C72,$D$5:$D$74,D72,$E$5:$E$74,E72)=1,"OK","DUPLICATE")</x:f>
        <x:v>OK</x:v>
      </x:c>
    </x:row>
    <x:row r="73">
      <x:c r="A73" s="13" t="str">
        <x:v>KG01</x:v>
      </x:c>
      <x:c r="B73" s="13" t="n">
        <x:v>25</x:v>
      </x:c>
      <x:c r="C73" s="20" t="n">
        <x:v>45956</x:v>
      </x:c>
      <x:c r="D73" s="13" t="str">
        <x:v>AM</x:v>
      </x:c>
      <x:c r="E73" s="13" t="str">
        <x:v>ORD-2025-00162</x:v>
      </x:c>
      <x:c r="F73" s="13" t="str">
        <x:v>Normal</x:v>
      </x:c>
      <x:c r="G73" s="13" t="n">
        <x:v>13046</x:v>
      </x:c>
      <x:c r="H73" s="22" t="n">
        <x:v>0.006861857229581123</x:v>
      </x:c>
      <x:c r="I73" s="22" t="n">
        <x:v>0.01566931719793398</x:v>
      </x:c>
      <x:c r="J73" s="22" t="n">
        <x:v>0.003114954768468298</x:v>
      </x:c>
      <x:c r="K73" s="22" t="n">
        <x:v>0.004493297373685101</x:v>
      </x:c>
      <x:c r="L73" s="22" t="n">
        <x:v>0.005951255436242946</x:v>
      </x:c>
      <x:c r="M73" s="22" t="n">
        <x:v>0.005672601335549297</x:v>
      </x:c>
      <x:c r="N73" s="22" t="n">
        <x:v>0.0031000268702168527</x:v>
      </x:c>
      <x:c r="O73" s="22" t="n">
        <x:v>0.003627479275101261</x:v>
      </x:c>
      <x:c r="P73" s="22" t="n">
        <x:v>0.000547356269219669</x:v>
      </x:c>
      <x:c r="Q73" s="22" t="n">
        <x:v>0.011832847347312481</x:v>
      </x:c>
      <x:c r="R73" s="22" t="n">
        <x:v>0.0040454604261417355</x:v>
      </x:c>
      <x:c r="S73" s="23" t="str">
        <x:v>PE000069</x:v>
      </x:c>
      <x:c r="T73" s="23" t="n">
        <x:v>200966</x:v>
      </x:c>
      <x:c r="U73" s="23" t="n">
        <x:f>SUM(H73:R73)</x:f>
        <x:v>0.06491645352945274</x:v>
      </x:c>
      <x:c r="V73" s="18" t="n">
        <x:f>ROUND(T73*U73,0)</x:f>
        <x:v>13046</x:v>
      </x:c>
      <x:c r="W73" s="18" t="str">
        <x:f>IF(ABS(G73-V73)&lt;=1,"OK","CHECK")</x:f>
        <x:v>OK</x:v>
      </x:c>
      <x:c r="X73" s="18" t="str">
        <x:f>IF(COUNTIF(ProductionReference!$A$5:$A$74,S73)=1,"OK","LINK ERROR")</x:f>
        <x:v>OK</x:v>
      </x:c>
      <x:c r="Y73" s="18" t="str">
        <x:f>IF(F73=INDEX(ProductionReference!$G$5:$G$74,MATCH(S73,ProductionReference!$A$5:$A$74,0)),"OK","CASE MISMATCH")</x:f>
        <x:v>OK</x:v>
      </x:c>
      <x:c r="Z73" s="18" t="str">
        <x:f>IF(COUNTIFS($A$5:$A$74,A73,$B$5:$B$74,B73,$C$5:$C$74,C73,$D$5:$D$74,D73,$E$5:$E$74,E73)=1,"OK","DUPLICATE")</x:f>
        <x:v>OK</x:v>
      </x:c>
    </x:row>
    <x:row r="74">
      <x:c r="A74" s="13" t="str">
        <x:v>KG01</x:v>
      </x:c>
      <x:c r="B74" s="13" t="n">
        <x:v>25</x:v>
      </x:c>
      <x:c r="C74" s="20" t="n">
        <x:v>45956</x:v>
      </x:c>
      <x:c r="D74" s="13" t="str">
        <x:v>PM</x:v>
      </x:c>
      <x:c r="E74" s="13" t="str">
        <x:v>ORD-2025-00162</x:v>
      </x:c>
      <x:c r="F74" s="13" t="str">
        <x:v>Normal</x:v>
      </x:c>
      <x:c r="G74" s="13" t="n">
        <x:v>8299</x:v>
      </x:c>
      <x:c r="H74" s="22" t="n">
        <x:v>0.006469063572127639</x:v>
      </x:c>
      <x:c r="I74" s="22" t="n">
        <x:v>0.007254170206816447</x:v>
      </x:c>
      <x:c r="J74" s="22" t="n">
        <x:v>0.00555489831255848</x:v>
      </x:c>
      <x:c r="K74" s="22" t="n">
        <x:v>0.0023176778051429863</x:v>
      </x:c>
      <x:c r="L74" s="22" t="n">
        <x:v>0.004694507480022801</x:v>
      </x:c>
      <x:c r="M74" s="22" t="n">
        <x:v>0.005882922317462708</x:v>
      </x:c>
      <x:c r="N74" s="22" t="n">
        <x:v>0.00260268226842043</x:v>
      </x:c>
      <x:c r="O74" s="22" t="n">
        <x:v>0.0020111635710521503</x:v>
      </x:c>
      <x:c r="P74" s="22" t="n">
        <x:v>0.0017745560921048386</x:v>
      </x:c>
      <x:c r="Q74" s="22" t="n">
        <x:v>0.004038459470214345</x:v>
      </x:c>
      <x:c r="R74" s="22" t="n">
        <x:v>0.0020272958991621945</x:v>
      </x:c>
      <x:c r="S74" s="23" t="str">
        <x:v>PE000070</x:v>
      </x:c>
      <x:c r="T74" s="23" t="n">
        <x:v>185962</x:v>
      </x:c>
      <x:c r="U74" s="23" t="n">
        <x:f>SUM(H74:R74)</x:f>
        <x:v>0.04462739699508503</x:v>
      </x:c>
      <x:c r="V74" s="18" t="n">
        <x:f>ROUND(T74*U74,0)</x:f>
        <x:v>8299</x:v>
      </x:c>
      <x:c r="W74" s="18" t="str">
        <x:f>IF(ABS(G74-V74)&lt;=1,"OK","CHECK")</x:f>
        <x:v>OK</x:v>
      </x:c>
      <x:c r="X74" s="18" t="str">
        <x:f>IF(COUNTIF(ProductionReference!$A$5:$A$74,S74)=1,"OK","LINK ERROR")</x:f>
        <x:v>OK</x:v>
      </x:c>
      <x:c r="Y74" s="18" t="str">
        <x:f>IF(F74=INDEX(ProductionReference!$G$5:$G$74,MATCH(S74,ProductionReference!$A$5:$A$74,0)),"OK","CASE MISMATCH")</x:f>
        <x:v>OK</x:v>
      </x:c>
      <x:c r="Z74" s="18" t="str">
        <x:f>IF(COUNTIFS($A$5:$A$74,A74,$B$5:$B$74,B74,$C$5:$C$74,C74,$D$5:$D$74,D74,$E$5:$E$74,E74)=1,"OK","DUPLICATE")</x:f>
        <x:v>OK</x:v>
      </x:c>
    </x:row>
  </x:sheetData>
  <x:conditionalFormatting sqref="W5:W74">
    <x:cfRule type="expression" dxfId="0" priority="1">
      <x:formula>W5&lt;&gt;"OK"</x:formula>
    </x:cfRule>
  </x:conditionalFormatting>
  <x:conditionalFormatting sqref="X5:X74">
    <x:cfRule type="expression" dxfId="1" priority="2">
      <x:formula>X5&lt;&gt;"OK"</x:formula>
    </x:cfRule>
  </x:conditionalFormatting>
  <x:conditionalFormatting sqref="Y5:Y74">
    <x:cfRule type="expression" dxfId="2" priority="3">
      <x:formula>Y5&lt;&gt;"OK"</x:formula>
    </x:cfRule>
  </x:conditionalFormatting>
  <x:conditionalFormatting sqref="Z5:Z74">
    <x:cfRule type="expression" dxfId="3" priority="4">
      <x:formula>Z5&lt;&gt;"OK"</x:formula>
    </x:cfRule>
  </x:conditionalFormatting>
  <x:dataValidations count="6">
    <x:dataValidation type="list" sqref="B5:B500">
      <x:formula1>"21,22,23,24,25"</x:formula1>
    </x:dataValidation>
    <x:dataValidation type="list" sqref="D5:D500">
      <x:formula1>"AM,PM"</x:formula1>
    </x:dataValidation>
    <x:dataValidation type="list" sqref="E5:E500">
      <x:formula1>"ORD-2025-00019,ORD-2025-00020,ORD-2025-00021,ORD-2025-00055,ORD-2025-00056,ORD-2025-00057,ORD-2025-00058,ORD-2025-00092,ORD-2025-00093,ORD-2025-00094,ORD-2025-00124,ORD-2025-00125,ORD-2025-00126,ORD-2025-00161,ORD-2025-00162"</x:formula1>
    </x:dataValidation>
    <x:dataValidation type="list" sqref="F5:F500">
      <x:formula1>"Normal,Trial,Reworking"</x:formula1>
    </x:dataValidation>
    <x:dataValidation sqref="G5:G500">
      <x:formula1>0</x:formula1>
    </x:dataValidation>
    <x:dataValidation type="decimal" operator="between" sqref="H5:R500">
      <x:formula1>0</x:formula1>
      <x:formula2>1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4.630001068115234" hidden="0" customWidth="1"/>
    <x:col min="2" max="2" width="10" hidden="0" customWidth="1"/>
    <x:col min="3" max="3" width="8.380000114440918" hidden="0" customWidth="1"/>
    <x:col min="4" max="4" width="7.880000114440918" hidden="0" customWidth="1"/>
    <x:col min="5" max="5" width="9.880000114440918" hidden="0" customWidth="1"/>
    <x:col min="6" max="6" width="13.380000114440918" hidden="0" customWidth="1"/>
    <x:col min="7" max="7" width="8.630000114440918" hidden="0" customWidth="1"/>
    <x:col min="8" max="8" width="11.130000114440918" hidden="0" customWidth="1"/>
    <x:col min="9" max="9" width="9" hidden="0" customWidth="1"/>
  </x:cols>
  <x:sheetData>
    <x:row r="1">
      <x:c r="A1" s="12" t="str">
        <x:v>PRODUCTION REFERENCE FOR WORKBOOK VALIDATION</x:v>
      </x:c>
      <x:c r="B1" s="12"/>
      <x:c r="C1" s="12"/>
      <x:c r="D1" s="12"/>
      <x:c r="E1" s="12"/>
      <x:c r="F1" s="12"/>
      <x:c r="G1" s="12"/>
      <x:c r="H1" s="12"/>
      <x:c r="I1" s="12"/>
    </x:row>
    <x:row r="2">
      <x:c r="A2" s="13" t="str">
        <x:v>Local QA copy only; FACT_PRODUCTION remains the source of truth.</x:v>
      </x:c>
      <x:c r="B2" s="13"/>
      <x:c r="C2" s="13"/>
      <x:c r="D2" s="13"/>
      <x:c r="E2" s="13"/>
      <x:c r="F2" s="13"/>
      <x:c r="G2" s="13"/>
      <x:c r="H2" s="13"/>
      <x:c r="I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</x:row>
    <x:row r="4">
      <x:c r="A4" s="8" t="str">
        <x:v>ProductionEventID</x:v>
      </x:c>
      <x:c r="B4" s="8" t="str">
        <x:v>FactoryCode</x:v>
      </x:c>
      <x:c r="C4" s="8" t="str">
        <x:v>EventDate</x:v>
      </x:c>
      <x:c r="D4" s="8" t="str">
        <x:v>ShiftCode</x:v>
      </x:c>
      <x:c r="E4" s="8" t="str">
        <x:v>LineNumber</x:v>
      </x:c>
      <x:c r="F4" s="8" t="str">
        <x:v>OrderNumber</x:v>
      </x:c>
      <x:c r="G4" s="8" t="str">
        <x:v>CaseName</x:v>
      </x:c>
      <x:c r="H4" s="8" t="str">
        <x:v>DesignOutput</x:v>
      </x:c>
      <x:c r="I4" s="8" t="str">
        <x:v>TotalReject</x:v>
      </x:c>
    </x:row>
    <x:row r="5">
      <x:c r="A5" s="13" t="str">
        <x:v>PE000001</x:v>
      </x:c>
      <x:c r="B5" s="13" t="str">
        <x:v>KG01</x:v>
      </x:c>
      <x:c r="C5" s="20" t="n">
        <x:v>45950</x:v>
      </x:c>
      <x:c r="D5" s="13" t="str">
        <x:v>AM</x:v>
      </x:c>
      <x:c r="E5" s="13" t="n">
        <x:v>21</x:v>
      </x:c>
      <x:c r="F5" s="13" t="str">
        <x:v>ORD-2025-00019</x:v>
      </x:c>
      <x:c r="G5" s="13" t="str">
        <x:v>Normal</x:v>
      </x:c>
      <x:c r="H5" s="13" t="n">
        <x:v>253368</x:v>
      </x:c>
      <x:c r="I5" s="13" t="n">
        <x:v>13161</x:v>
      </x:c>
    </x:row>
    <x:row r="6">
      <x:c r="A6" s="13" t="str">
        <x:v>PE000002</x:v>
      </x:c>
      <x:c r="B6" s="13" t="str">
        <x:v>KG01</x:v>
      </x:c>
      <x:c r="C6" s="20" t="n">
        <x:v>45950</x:v>
      </x:c>
      <x:c r="D6" s="13" t="str">
        <x:v>PM</x:v>
      </x:c>
      <x:c r="E6" s="13" t="n">
        <x:v>21</x:v>
      </x:c>
      <x:c r="F6" s="13" t="str">
        <x:v>ORD-2025-00019</x:v>
      </x:c>
      <x:c r="G6" s="13" t="str">
        <x:v>Normal</x:v>
      </x:c>
      <x:c r="H6" s="13" t="n">
        <x:v>228690</x:v>
      </x:c>
      <x:c r="I6" s="13" t="n">
        <x:v>10575</x:v>
      </x:c>
    </x:row>
    <x:row r="7">
      <x:c r="A7" s="13" t="str">
        <x:v>PE000003</x:v>
      </x:c>
      <x:c r="B7" s="13" t="str">
        <x:v>KG01</x:v>
      </x:c>
      <x:c r="C7" s="20" t="n">
        <x:v>45951</x:v>
      </x:c>
      <x:c r="D7" s="13" t="str">
        <x:v>AM</x:v>
      </x:c>
      <x:c r="E7" s="13" t="n">
        <x:v>21</x:v>
      </x:c>
      <x:c r="F7" s="13" t="str">
        <x:v>ORD-2025-00020</x:v>
      </x:c>
      <x:c r="G7" s="13" t="str">
        <x:v>Trial</x:v>
      </x:c>
      <x:c r="H7" s="13" t="n">
        <x:v>89880</x:v>
      </x:c>
      <x:c r="I7" s="13" t="n">
        <x:v>9054</x:v>
      </x:c>
    </x:row>
    <x:row r="8">
      <x:c r="A8" s="13" t="str">
        <x:v>PE000004</x:v>
      </x:c>
      <x:c r="B8" s="13" t="str">
        <x:v>KG01</x:v>
      </x:c>
      <x:c r="C8" s="20" t="n">
        <x:v>45951</x:v>
      </x:c>
      <x:c r="D8" s="13" t="str">
        <x:v>PM</x:v>
      </x:c>
      <x:c r="E8" s="13" t="n">
        <x:v>21</x:v>
      </x:c>
      <x:c r="F8" s="13" t="str">
        <x:v>ORD-2025-00020</x:v>
      </x:c>
      <x:c r="G8" s="13" t="str">
        <x:v>Normal</x:v>
      </x:c>
      <x:c r="H8" s="13" t="n">
        <x:v>139440</x:v>
      </x:c>
      <x:c r="I8" s="13" t="n">
        <x:v>6646</x:v>
      </x:c>
    </x:row>
    <x:row r="9">
      <x:c r="A9" s="13" t="str">
        <x:v>PE000005</x:v>
      </x:c>
      <x:c r="B9" s="13" t="str">
        <x:v>KG01</x:v>
      </x:c>
      <x:c r="C9" s="20" t="n">
        <x:v>45952</x:v>
      </x:c>
      <x:c r="D9" s="13" t="str">
        <x:v>AM</x:v>
      </x:c>
      <x:c r="E9" s="13" t="n">
        <x:v>21</x:v>
      </x:c>
      <x:c r="F9" s="13" t="str">
        <x:v>ORD-2025-00020</x:v>
      </x:c>
      <x:c r="G9" s="13" t="str">
        <x:v>Normal</x:v>
      </x:c>
      <x:c r="H9" s="13" t="n">
        <x:v>124632</x:v>
      </x:c>
      <x:c r="I9" s="13" t="n">
        <x:v>6951</x:v>
      </x:c>
    </x:row>
    <x:row r="10">
      <x:c r="A10" s="13" t="str">
        <x:v>PE000006</x:v>
      </x:c>
      <x:c r="B10" s="13" t="str">
        <x:v>KG01</x:v>
      </x:c>
      <x:c r="C10" s="20" t="n">
        <x:v>45952</x:v>
      </x:c>
      <x:c r="D10" s="13" t="str">
        <x:v>PM</x:v>
      </x:c>
      <x:c r="E10" s="13" t="n">
        <x:v>21</x:v>
      </x:c>
      <x:c r="F10" s="13" t="str">
        <x:v>ORD-2025-00020</x:v>
      </x:c>
      <x:c r="G10" s="13" t="str">
        <x:v>Normal</x:v>
      </x:c>
      <x:c r="H10" s="13" t="n">
        <x:v>154176</x:v>
      </x:c>
      <x:c r="I10" s="13" t="n">
        <x:v>6388</x:v>
      </x:c>
    </x:row>
    <x:row r="11">
      <x:c r="A11" s="13" t="str">
        <x:v>PE000007</x:v>
      </x:c>
      <x:c r="B11" s="13" t="str">
        <x:v>KG01</x:v>
      </x:c>
      <x:c r="C11" s="20" t="n">
        <x:v>45953</x:v>
      </x:c>
      <x:c r="D11" s="13" t="str">
        <x:v>AM</x:v>
      </x:c>
      <x:c r="E11" s="13" t="n">
        <x:v>21</x:v>
      </x:c>
      <x:c r="F11" s="13" t="str">
        <x:v>ORD-2025-00020</x:v>
      </x:c>
      <x:c r="G11" s="13" t="str">
        <x:v>Normal</x:v>
      </x:c>
      <x:c r="H11" s="13" t="n">
        <x:v>137400</x:v>
      </x:c>
      <x:c r="I11" s="13" t="n">
        <x:v>5426</x:v>
      </x:c>
    </x:row>
    <x:row r="12">
      <x:c r="A12" s="13" t="str">
        <x:v>PE000008</x:v>
      </x:c>
      <x:c r="B12" s="13" t="str">
        <x:v>KG01</x:v>
      </x:c>
      <x:c r="C12" s="20" t="n">
        <x:v>45953</x:v>
      </x:c>
      <x:c r="D12" s="13" t="str">
        <x:v>PM</x:v>
      </x:c>
      <x:c r="E12" s="13" t="n">
        <x:v>21</x:v>
      </x:c>
      <x:c r="F12" s="13" t="str">
        <x:v>ORD-2025-00020</x:v>
      </x:c>
      <x:c r="G12" s="13" t="str">
        <x:v>Normal</x:v>
      </x:c>
      <x:c r="H12" s="13" t="n">
        <x:v>126252</x:v>
      </x:c>
      <x:c r="I12" s="13" t="n">
        <x:v>3550</x:v>
      </x:c>
    </x:row>
    <x:row r="13">
      <x:c r="A13" s="13" t="str">
        <x:v>PE000009</x:v>
      </x:c>
      <x:c r="B13" s="13" t="str">
        <x:v>KG01</x:v>
      </x:c>
      <x:c r="C13" s="20" t="n">
        <x:v>45954</x:v>
      </x:c>
      <x:c r="D13" s="13" t="str">
        <x:v>AM</x:v>
      </x:c>
      <x:c r="E13" s="13" t="n">
        <x:v>21</x:v>
      </x:c>
      <x:c r="F13" s="13" t="str">
        <x:v>ORD-2025-00020</x:v>
      </x:c>
      <x:c r="G13" s="13" t="str">
        <x:v>Normal</x:v>
      </x:c>
      <x:c r="H13" s="13" t="n">
        <x:v>154968</x:v>
      </x:c>
      <x:c r="I13" s="13" t="n">
        <x:v>4499</x:v>
      </x:c>
    </x:row>
    <x:row r="14">
      <x:c r="A14" s="13" t="str">
        <x:v>PE000010</x:v>
      </x:c>
      <x:c r="B14" s="13" t="str">
        <x:v>KG01</x:v>
      </x:c>
      <x:c r="C14" s="20" t="n">
        <x:v>45954</x:v>
      </x:c>
      <x:c r="D14" s="13" t="str">
        <x:v>PM</x:v>
      </x:c>
      <x:c r="E14" s="13" t="n">
        <x:v>21</x:v>
      </x:c>
      <x:c r="F14" s="13" t="str">
        <x:v>ORD-2025-00020</x:v>
      </x:c>
      <x:c r="G14" s="13" t="str">
        <x:v>Normal</x:v>
      </x:c>
      <x:c r="H14" s="13" t="n">
        <x:v>123660</x:v>
      </x:c>
      <x:c r="I14" s="13" t="n">
        <x:v>3759</x:v>
      </x:c>
    </x:row>
    <x:row r="15">
      <x:c r="A15" s="13" t="str">
        <x:v>PE000011</x:v>
      </x:c>
      <x:c r="B15" s="13" t="str">
        <x:v>KG01</x:v>
      </x:c>
      <x:c r="C15" s="20" t="n">
        <x:v>45955</x:v>
      </x:c>
      <x:c r="D15" s="13" t="str">
        <x:v>AM</x:v>
      </x:c>
      <x:c r="E15" s="13" t="n">
        <x:v>21</x:v>
      </x:c>
      <x:c r="F15" s="13" t="str">
        <x:v>ORD-2025-00021</x:v>
      </x:c>
      <x:c r="G15" s="13" t="str">
        <x:v>Trial</x:v>
      </x:c>
      <x:c r="H15" s="13" t="n">
        <x:v>131076</x:v>
      </x:c>
      <x:c r="I15" s="13" t="n">
        <x:v>14048</x:v>
      </x:c>
    </x:row>
    <x:row r="16">
      <x:c r="A16" s="13" t="str">
        <x:v>PE000012</x:v>
      </x:c>
      <x:c r="B16" s="13" t="str">
        <x:v>KG01</x:v>
      </x:c>
      <x:c r="C16" s="20" t="n">
        <x:v>45955</x:v>
      </x:c>
      <x:c r="D16" s="13" t="str">
        <x:v>PM</x:v>
      </x:c>
      <x:c r="E16" s="13" t="n">
        <x:v>21</x:v>
      </x:c>
      <x:c r="F16" s="13" t="str">
        <x:v>ORD-2025-00021</x:v>
      </x:c>
      <x:c r="G16" s="13" t="str">
        <x:v>Normal</x:v>
      </x:c>
      <x:c r="H16" s="13" t="n">
        <x:v>272376</x:v>
      </x:c>
      <x:c r="I16" s="13" t="n">
        <x:v>13535</x:v>
      </x:c>
    </x:row>
    <x:row r="17">
      <x:c r="A17" s="13" t="str">
        <x:v>PE000013</x:v>
      </x:c>
      <x:c r="B17" s="13" t="str">
        <x:v>KG01</x:v>
      </x:c>
      <x:c r="C17" s="20" t="n">
        <x:v>45956</x:v>
      </x:c>
      <x:c r="D17" s="13" t="str">
        <x:v>AM</x:v>
      </x:c>
      <x:c r="E17" s="13" t="n">
        <x:v>21</x:v>
      </x:c>
      <x:c r="F17" s="13" t="str">
        <x:v>ORD-2025-00021</x:v>
      </x:c>
      <x:c r="G17" s="13" t="str">
        <x:v>Normal</x:v>
      </x:c>
      <x:c r="H17" s="13" t="n">
        <x:v>275886</x:v>
      </x:c>
      <x:c r="I17" s="13" t="n">
        <x:v>12922</x:v>
      </x:c>
    </x:row>
    <x:row r="18">
      <x:c r="A18" s="13" t="str">
        <x:v>PE000014</x:v>
      </x:c>
      <x:c r="B18" s="13" t="str">
        <x:v>KG01</x:v>
      </x:c>
      <x:c r="C18" s="20" t="n">
        <x:v>45956</x:v>
      </x:c>
      <x:c r="D18" s="13" t="str">
        <x:v>PM</x:v>
      </x:c>
      <x:c r="E18" s="13" t="n">
        <x:v>21</x:v>
      </x:c>
      <x:c r="F18" s="13" t="str">
        <x:v>ORD-2025-00021</x:v>
      </x:c>
      <x:c r="G18" s="13" t="str">
        <x:v>Normal</x:v>
      </x:c>
      <x:c r="H18" s="13" t="n">
        <x:v>276588</x:v>
      </x:c>
      <x:c r="I18" s="13" t="n">
        <x:v>10955</x:v>
      </x:c>
    </x:row>
    <x:row r="19">
      <x:c r="A19" s="13" t="str">
        <x:v>PE000015</x:v>
      </x:c>
      <x:c r="B19" s="13" t="str">
        <x:v>KG01</x:v>
      </x:c>
      <x:c r="C19" s="20" t="n">
        <x:v>45950</x:v>
      </x:c>
      <x:c r="D19" s="13" t="str">
        <x:v>AM</x:v>
      </x:c>
      <x:c r="E19" s="13" t="n">
        <x:v>22</x:v>
      </x:c>
      <x:c r="F19" s="13" t="str">
        <x:v>ORD-2025-00056</x:v>
      </x:c>
      <x:c r="G19" s="13" t="str">
        <x:v>Trial</x:v>
      </x:c>
      <x:c r="H19" s="13" t="n">
        <x:v>26880</x:v>
      </x:c>
      <x:c r="I19" s="13" t="n">
        <x:v>3024</x:v>
      </x:c>
    </x:row>
    <x:row r="20">
      <x:c r="A20" s="13" t="str">
        <x:v>PE000016</x:v>
      </x:c>
      <x:c r="B20" s="13" t="str">
        <x:v>KG01</x:v>
      </x:c>
      <x:c r="C20" s="20" t="n">
        <x:v>45950</x:v>
      </x:c>
      <x:c r="D20" s="13" t="str">
        <x:v>PM</x:v>
      </x:c>
      <x:c r="E20" s="13" t="n">
        <x:v>22</x:v>
      </x:c>
      <x:c r="F20" s="13" t="str">
        <x:v>ORD-2025-00056</x:v>
      </x:c>
      <x:c r="G20" s="13" t="str">
        <x:v>Normal</x:v>
      </x:c>
      <x:c r="H20" s="13" t="n">
        <x:v>156288</x:v>
      </x:c>
      <x:c r="I20" s="13" t="n">
        <x:v>8503</x:v>
      </x:c>
    </x:row>
    <x:row r="21">
      <x:c r="A21" s="13" t="str">
        <x:v>PE000017</x:v>
      </x:c>
      <x:c r="B21" s="13" t="str">
        <x:v>KG01</x:v>
      </x:c>
      <x:c r="C21" s="20" t="n">
        <x:v>45951</x:v>
      </x:c>
      <x:c r="D21" s="13" t="str">
        <x:v>AM</x:v>
      </x:c>
      <x:c r="E21" s="13" t="n">
        <x:v>22</x:v>
      </x:c>
      <x:c r="F21" s="13" t="str">
        <x:v>ORD-2025-00056</x:v>
      </x:c>
      <x:c r="G21" s="13" t="str">
        <x:v>Normal</x:v>
      </x:c>
      <x:c r="H21" s="13" t="n">
        <x:v>140160</x:v>
      </x:c>
      <x:c r="I21" s="13" t="n">
        <x:v>5551</x:v>
      </x:c>
    </x:row>
    <x:row r="22">
      <x:c r="A22" s="13" t="str">
        <x:v>PE000018</x:v>
      </x:c>
      <x:c r="B22" s="13" t="str">
        <x:v>KG01</x:v>
      </x:c>
      <x:c r="C22" s="20" t="n">
        <x:v>45951</x:v>
      </x:c>
      <x:c r="D22" s="13" t="str">
        <x:v>PM</x:v>
      </x:c>
      <x:c r="E22" s="13" t="n">
        <x:v>22</x:v>
      </x:c>
      <x:c r="F22" s="13" t="str">
        <x:v>ORD-2025-00056</x:v>
      </x:c>
      <x:c r="G22" s="13" t="str">
        <x:v>Normal</x:v>
      </x:c>
      <x:c r="H22" s="13" t="n">
        <x:v>138840</x:v>
      </x:c>
      <x:c r="I22" s="13" t="n">
        <x:v>6335</x:v>
      </x:c>
    </x:row>
    <x:row r="23">
      <x:c r="A23" s="13" t="str">
        <x:v>PE000019</x:v>
      </x:c>
      <x:c r="B23" s="13" t="str">
        <x:v>KG01</x:v>
      </x:c>
      <x:c r="C23" s="20" t="n">
        <x:v>45952</x:v>
      </x:c>
      <x:c r="D23" s="13" t="str">
        <x:v>AM</x:v>
      </x:c>
      <x:c r="E23" s="13" t="n">
        <x:v>22</x:v>
      </x:c>
      <x:c r="F23" s="13" t="str">
        <x:v>ORD-2025-00057</x:v>
      </x:c>
      <x:c r="G23" s="13" t="str">
        <x:v>Normal</x:v>
      </x:c>
      <x:c r="H23" s="13" t="n">
        <x:v>126252</x:v>
      </x:c>
      <x:c r="I23" s="13" t="n">
        <x:v>7192</x:v>
      </x:c>
    </x:row>
    <x:row r="24">
      <x:c r="A24" s="13" t="str">
        <x:v>PE000020</x:v>
      </x:c>
      <x:c r="B24" s="13" t="str">
        <x:v>KG01</x:v>
      </x:c>
      <x:c r="C24" s="20" t="n">
        <x:v>45952</x:v>
      </x:c>
      <x:c r="D24" s="13" t="str">
        <x:v>PM</x:v>
      </x:c>
      <x:c r="E24" s="13" t="n">
        <x:v>22</x:v>
      </x:c>
      <x:c r="F24" s="13" t="str">
        <x:v>ORD-2025-00057</x:v>
      </x:c>
      <x:c r="G24" s="13" t="str">
        <x:v>Normal</x:v>
      </x:c>
      <x:c r="H24" s="13" t="n">
        <x:v>138720</x:v>
      </x:c>
      <x:c r="I24" s="13" t="n">
        <x:v>5375</x:v>
      </x:c>
    </x:row>
    <x:row r="25">
      <x:c r="A25" s="13" t="str">
        <x:v>PE000021</x:v>
      </x:c>
      <x:c r="B25" s="13" t="str">
        <x:v>KG01</x:v>
      </x:c>
      <x:c r="C25" s="20" t="n">
        <x:v>45953</x:v>
      </x:c>
      <x:c r="D25" s="13" t="str">
        <x:v>AM</x:v>
      </x:c>
      <x:c r="E25" s="13" t="n">
        <x:v>22</x:v>
      </x:c>
      <x:c r="F25" s="13" t="str">
        <x:v>ORD-2025-00057</x:v>
      </x:c>
      <x:c r="G25" s="13" t="str">
        <x:v>Normal</x:v>
      </x:c>
      <x:c r="H25" s="13" t="n">
        <x:v>140400</x:v>
      </x:c>
      <x:c r="I25" s="13" t="n">
        <x:v>6927</x:v>
      </x:c>
    </x:row>
    <x:row r="26">
      <x:c r="A26" s="13" t="str">
        <x:v>PE000022</x:v>
      </x:c>
      <x:c r="B26" s="13" t="str">
        <x:v>KG01</x:v>
      </x:c>
      <x:c r="C26" s="20" t="n">
        <x:v>45953</x:v>
      </x:c>
      <x:c r="D26" s="13" t="str">
        <x:v>PM</x:v>
      </x:c>
      <x:c r="E26" s="13" t="n">
        <x:v>22</x:v>
      </x:c>
      <x:c r="F26" s="13" t="str">
        <x:v>ORD-2025-00057</x:v>
      </x:c>
      <x:c r="G26" s="13" t="str">
        <x:v>Normal</x:v>
      </x:c>
      <x:c r="H26" s="13" t="n">
        <x:v>141240</x:v>
      </x:c>
      <x:c r="I26" s="13" t="n">
        <x:v>8020</x:v>
      </x:c>
    </x:row>
    <x:row r="27">
      <x:c r="A27" s="13" t="str">
        <x:v>PE000023</x:v>
      </x:c>
      <x:c r="B27" s="13" t="str">
        <x:v>KG01</x:v>
      </x:c>
      <x:c r="C27" s="20" t="n">
        <x:v>45954</x:v>
      </x:c>
      <x:c r="D27" s="13" t="str">
        <x:v>AM</x:v>
      </x:c>
      <x:c r="E27" s="13" t="n">
        <x:v>22</x:v>
      </x:c>
      <x:c r="F27" s="13" t="str">
        <x:v>ORD-2025-00057</x:v>
      </x:c>
      <x:c r="G27" s="13" t="str">
        <x:v>Normal</x:v>
      </x:c>
      <x:c r="H27" s="13" t="n">
        <x:v>141000</x:v>
      </x:c>
      <x:c r="I27" s="13" t="n">
        <x:v>5092</x:v>
      </x:c>
    </x:row>
    <x:row r="28">
      <x:c r="A28" s="13" t="str">
        <x:v>PE000024</x:v>
      </x:c>
      <x:c r="B28" s="13" t="str">
        <x:v>KG01</x:v>
      </x:c>
      <x:c r="C28" s="20" t="n">
        <x:v>45954</x:v>
      </x:c>
      <x:c r="D28" s="13" t="str">
        <x:v>PM</x:v>
      </x:c>
      <x:c r="E28" s="13" t="n">
        <x:v>22</x:v>
      </x:c>
      <x:c r="F28" s="13" t="str">
        <x:v>ORD-2025-00057</x:v>
      </x:c>
      <x:c r="G28" s="13" t="str">
        <x:v>Normal</x:v>
      </x:c>
      <x:c r="H28" s="13" t="n">
        <x:v>126036</x:v>
      </x:c>
      <x:c r="I28" s="13" t="n">
        <x:v>5309</x:v>
      </x:c>
    </x:row>
    <x:row r="29">
      <x:c r="A29" s="13" t="str">
        <x:v>PE000025</x:v>
      </x:c>
      <x:c r="B29" s="13" t="str">
        <x:v>KG01</x:v>
      </x:c>
      <x:c r="C29" s="20" t="n">
        <x:v>45955</x:v>
      </x:c>
      <x:c r="D29" s="13" t="str">
        <x:v>AM</x:v>
      </x:c>
      <x:c r="E29" s="13" t="n">
        <x:v>22</x:v>
      </x:c>
      <x:c r="F29" s="13" t="str">
        <x:v>ORD-2025-00057</x:v>
      </x:c>
      <x:c r="G29" s="13" t="str">
        <x:v>Normal</x:v>
      </x:c>
      <x:c r="H29" s="13" t="n">
        <x:v>142200</x:v>
      </x:c>
      <x:c r="I29" s="13" t="n">
        <x:v>6188</x:v>
      </x:c>
    </x:row>
    <x:row r="30">
      <x:c r="A30" s="13" t="str">
        <x:v>PE000026</x:v>
      </x:c>
      <x:c r="B30" s="13" t="str">
        <x:v>KG01</x:v>
      </x:c>
      <x:c r="C30" s="20" t="n">
        <x:v>45955</x:v>
      </x:c>
      <x:c r="D30" s="13" t="str">
        <x:v>PM</x:v>
      </x:c>
      <x:c r="E30" s="13" t="n">
        <x:v>22</x:v>
      </x:c>
      <x:c r="F30" s="13" t="str">
        <x:v>ORD-2025-00057</x:v>
      </x:c>
      <x:c r="G30" s="13" t="str">
        <x:v>Normal</x:v>
      </x:c>
      <x:c r="H30" s="13" t="n">
        <x:v>155628</x:v>
      </x:c>
      <x:c r="I30" s="13" t="n">
        <x:v>5745</x:v>
      </x:c>
    </x:row>
    <x:row r="31">
      <x:c r="A31" s="13" t="str">
        <x:v>PE000027</x:v>
      </x:c>
      <x:c r="B31" s="13" t="str">
        <x:v>KG01</x:v>
      </x:c>
      <x:c r="C31" s="20" t="n">
        <x:v>45956</x:v>
      </x:c>
      <x:c r="D31" s="13" t="str">
        <x:v>AM</x:v>
      </x:c>
      <x:c r="E31" s="13" t="n">
        <x:v>22</x:v>
      </x:c>
      <x:c r="F31" s="13" t="str">
        <x:v>ORD-2025-00058</x:v>
      </x:c>
      <x:c r="G31" s="13" t="str">
        <x:v>Trial</x:v>
      </x:c>
      <x:c r="H31" s="13" t="n">
        <x:v>104496</x:v>
      </x:c>
      <x:c r="I31" s="13" t="n">
        <x:v>15579</x:v>
      </x:c>
    </x:row>
    <x:row r="32">
      <x:c r="A32" s="13" t="str">
        <x:v>PE000028</x:v>
      </x:c>
      <x:c r="B32" s="13" t="str">
        <x:v>KG01</x:v>
      </x:c>
      <x:c r="C32" s="20" t="n">
        <x:v>45956</x:v>
      </x:c>
      <x:c r="D32" s="13" t="str">
        <x:v>PM</x:v>
      </x:c>
      <x:c r="E32" s="13" t="n">
        <x:v>22</x:v>
      </x:c>
      <x:c r="F32" s="13" t="str">
        <x:v>ORD-2025-00058</x:v>
      </x:c>
      <x:c r="G32" s="13" t="str">
        <x:v>Normal</x:v>
      </x:c>
      <x:c r="H32" s="13" t="n">
        <x:v>338976</x:v>
      </x:c>
      <x:c r="I32" s="13" t="n">
        <x:v>8405</x:v>
      </x:c>
    </x:row>
    <x:row r="33">
      <x:c r="A33" s="13" t="str">
        <x:v>PE000029</x:v>
      </x:c>
      <x:c r="B33" s="13" t="str">
        <x:v>KG01</x:v>
      </x:c>
      <x:c r="C33" s="20" t="n">
        <x:v>45950</x:v>
      </x:c>
      <x:c r="D33" s="13" t="str">
        <x:v>AM</x:v>
      </x:c>
      <x:c r="E33" s="13" t="n">
        <x:v>23</x:v>
      </x:c>
      <x:c r="F33" s="13" t="str">
        <x:v>ORD-2025-00092</x:v>
      </x:c>
      <x:c r="G33" s="13" t="str">
        <x:v>Normal</x:v>
      </x:c>
      <x:c r="H33" s="13" t="n">
        <x:v>278467</x:v>
      </x:c>
      <x:c r="I33" s="13" t="n">
        <x:v>18278</x:v>
      </x:c>
    </x:row>
    <x:row r="34">
      <x:c r="A34" s="13" t="str">
        <x:v>PE000030</x:v>
      </x:c>
      <x:c r="B34" s="13" t="str">
        <x:v>KG01</x:v>
      </x:c>
      <x:c r="C34" s="20" t="n">
        <x:v>45950</x:v>
      </x:c>
      <x:c r="D34" s="13" t="str">
        <x:v>PM</x:v>
      </x:c>
      <x:c r="E34" s="13" t="n">
        <x:v>23</x:v>
      </x:c>
      <x:c r="F34" s="13" t="str">
        <x:v>ORD-2025-00092</x:v>
      </x:c>
      <x:c r="G34" s="13" t="str">
        <x:v>Normal</x:v>
      </x:c>
      <x:c r="H34" s="13" t="n">
        <x:v>279418</x:v>
      </x:c>
      <x:c r="I34" s="13" t="n">
        <x:v>15396</x:v>
      </x:c>
    </x:row>
    <x:row r="35">
      <x:c r="A35" s="13" t="str">
        <x:v>PE000031</x:v>
      </x:c>
      <x:c r="B35" s="13" t="str">
        <x:v>KG01</x:v>
      </x:c>
      <x:c r="C35" s="20" t="n">
        <x:v>45951</x:v>
      </x:c>
      <x:c r="D35" s="13" t="str">
        <x:v>AM</x:v>
      </x:c>
      <x:c r="E35" s="13" t="n">
        <x:v>23</x:v>
      </x:c>
      <x:c r="F35" s="13" t="str">
        <x:v>ORD-2025-00092</x:v>
      </x:c>
      <x:c r="G35" s="13" t="str">
        <x:v>Normal</x:v>
      </x:c>
      <x:c r="H35" s="13" t="n">
        <x:v>324043</x:v>
      </x:c>
      <x:c r="I35" s="13" t="n">
        <x:v>17700</x:v>
      </x:c>
    </x:row>
    <x:row r="36">
      <x:c r="A36" s="13" t="str">
        <x:v>PE000032</x:v>
      </x:c>
      <x:c r="B36" s="13" t="str">
        <x:v>KG01</x:v>
      </x:c>
      <x:c r="C36" s="20" t="n">
        <x:v>45951</x:v>
      </x:c>
      <x:c r="D36" s="13" t="str">
        <x:v>PM</x:v>
      </x:c>
      <x:c r="E36" s="13" t="n">
        <x:v>23</x:v>
      </x:c>
      <x:c r="F36" s="13" t="str">
        <x:v>ORD-2025-00092</x:v>
      </x:c>
      <x:c r="G36" s="13" t="str">
        <x:v>Normal</x:v>
      </x:c>
      <x:c r="H36" s="13" t="n">
        <x:v>324324</x:v>
      </x:c>
      <x:c r="I36" s="13" t="n">
        <x:v>20517</x:v>
      </x:c>
    </x:row>
    <x:row r="37">
      <x:c r="A37" s="13" t="str">
        <x:v>PE000033</x:v>
      </x:c>
      <x:c r="B37" s="13" t="str">
        <x:v>KG01</x:v>
      </x:c>
      <x:c r="C37" s="20" t="n">
        <x:v>45952</x:v>
      </x:c>
      <x:c r="D37" s="13" t="str">
        <x:v>AM</x:v>
      </x:c>
      <x:c r="E37" s="13" t="n">
        <x:v>23</x:v>
      </x:c>
      <x:c r="F37" s="13" t="str">
        <x:v>ORD-2025-00093</x:v>
      </x:c>
      <x:c r="G37" s="13" t="str">
        <x:v>Normal</x:v>
      </x:c>
      <x:c r="H37" s="13" t="n">
        <x:v>89165</x:v>
      </x:c>
      <x:c r="I37" s="13" t="n">
        <x:v>4895</x:v>
      </x:c>
    </x:row>
    <x:row r="38">
      <x:c r="A38" s="13" t="str">
        <x:v>PE000034</x:v>
      </x:c>
      <x:c r="B38" s="13" t="str">
        <x:v>KG01</x:v>
      </x:c>
      <x:c r="C38" s="20" t="n">
        <x:v>45952</x:v>
      </x:c>
      <x:c r="D38" s="13" t="str">
        <x:v>PM</x:v>
      </x:c>
      <x:c r="E38" s="13" t="n">
        <x:v>23</x:v>
      </x:c>
      <x:c r="F38" s="13" t="str">
        <x:v>ORD-2025-00093</x:v>
      </x:c>
      <x:c r="G38" s="13" t="str">
        <x:v>Normal</x:v>
      </x:c>
      <x:c r="H38" s="13" t="n">
        <x:v>165600</x:v>
      </x:c>
      <x:c r="I38" s="13" t="n">
        <x:v>10098</x:v>
      </x:c>
    </x:row>
    <x:row r="39">
      <x:c r="A39" s="13" t="str">
        <x:v>PE000035</x:v>
      </x:c>
      <x:c r="B39" s="13" t="str">
        <x:v>KG01</x:v>
      </x:c>
      <x:c r="C39" s="20" t="n">
        <x:v>45953</x:v>
      </x:c>
      <x:c r="D39" s="13" t="str">
        <x:v>AM</x:v>
      </x:c>
      <x:c r="E39" s="13" t="n">
        <x:v>23</x:v>
      </x:c>
      <x:c r="F39" s="13" t="str">
        <x:v>ORD-2025-00093</x:v>
      </x:c>
      <x:c r="G39" s="13" t="str">
        <x:v>Normal</x:v>
      </x:c>
      <x:c r="H39" s="13" t="n">
        <x:v>185486</x:v>
      </x:c>
      <x:c r="I39" s="13" t="n">
        <x:v>7869</x:v>
      </x:c>
    </x:row>
    <x:row r="40">
      <x:c r="A40" s="13" t="str">
        <x:v>PE000036</x:v>
      </x:c>
      <x:c r="B40" s="13" t="str">
        <x:v>KG01</x:v>
      </x:c>
      <x:c r="C40" s="20" t="n">
        <x:v>45953</x:v>
      </x:c>
      <x:c r="D40" s="13" t="str">
        <x:v>PM</x:v>
      </x:c>
      <x:c r="E40" s="13" t="n">
        <x:v>23</x:v>
      </x:c>
      <x:c r="F40" s="13" t="str">
        <x:v>ORD-2025-00093</x:v>
      </x:c>
      <x:c r="G40" s="13" t="str">
        <x:v>Normal</x:v>
      </x:c>
      <x:c r="H40" s="13" t="n">
        <x:v>150595</x:v>
      </x:c>
      <x:c r="I40" s="13" t="n">
        <x:v>5160</x:v>
      </x:c>
    </x:row>
    <x:row r="41">
      <x:c r="A41" s="13" t="str">
        <x:v>PE000037</x:v>
      </x:c>
      <x:c r="B41" s="13" t="str">
        <x:v>KG01</x:v>
      </x:c>
      <x:c r="C41" s="20" t="n">
        <x:v>45954</x:v>
      </x:c>
      <x:c r="D41" s="13" t="str">
        <x:v>AM</x:v>
      </x:c>
      <x:c r="E41" s="13" t="n">
        <x:v>23</x:v>
      </x:c>
      <x:c r="F41" s="13" t="str">
        <x:v>ORD-2025-00093</x:v>
      </x:c>
      <x:c r="G41" s="13" t="str">
        <x:v>Normal</x:v>
      </x:c>
      <x:c r="H41" s="13" t="n">
        <x:v>148781</x:v>
      </x:c>
      <x:c r="I41" s="13" t="n">
        <x:v>5654</x:v>
      </x:c>
    </x:row>
    <x:row r="42">
      <x:c r="A42" s="13" t="str">
        <x:v>PE000038</x:v>
      </x:c>
      <x:c r="B42" s="13" t="str">
        <x:v>KG01</x:v>
      </x:c>
      <x:c r="C42" s="20" t="n">
        <x:v>45954</x:v>
      </x:c>
      <x:c r="D42" s="13" t="str">
        <x:v>PM</x:v>
      </x:c>
      <x:c r="E42" s="13" t="n">
        <x:v>23</x:v>
      </x:c>
      <x:c r="F42" s="13" t="str">
        <x:v>ORD-2025-00093</x:v>
      </x:c>
      <x:c r="G42" s="13" t="str">
        <x:v>Normal</x:v>
      </x:c>
      <x:c r="H42" s="13" t="n">
        <x:v>184694</x:v>
      </x:c>
      <x:c r="I42" s="13" t="n">
        <x:v>5196</x:v>
      </x:c>
    </x:row>
    <x:row r="43">
      <x:c r="A43" s="13" t="str">
        <x:v>PE000039</x:v>
      </x:c>
      <x:c r="B43" s="13" t="str">
        <x:v>KG01</x:v>
      </x:c>
      <x:c r="C43" s="20" t="n">
        <x:v>45955</x:v>
      </x:c>
      <x:c r="D43" s="13" t="str">
        <x:v>AM</x:v>
      </x:c>
      <x:c r="E43" s="13" t="n">
        <x:v>23</x:v>
      </x:c>
      <x:c r="F43" s="13" t="str">
        <x:v>ORD-2025-00093</x:v>
      </x:c>
      <x:c r="G43" s="13" t="str">
        <x:v>Normal</x:v>
      </x:c>
      <x:c r="H43" s="13" t="n">
        <x:v>170640</x:v>
      </x:c>
      <x:c r="I43" s="13" t="n">
        <x:v>8874</x:v>
      </x:c>
    </x:row>
    <x:row r="44">
      <x:c r="A44" s="13" t="str">
        <x:v>PE000040</x:v>
      </x:c>
      <x:c r="B44" s="13" t="str">
        <x:v>KG01</x:v>
      </x:c>
      <x:c r="C44" s="20" t="n">
        <x:v>45955</x:v>
      </x:c>
      <x:c r="D44" s="13" t="str">
        <x:v>PM</x:v>
      </x:c>
      <x:c r="E44" s="13" t="n">
        <x:v>23</x:v>
      </x:c>
      <x:c r="F44" s="13" t="str">
        <x:v>ORD-2025-00093</x:v>
      </x:c>
      <x:c r="G44" s="13" t="str">
        <x:v>Normal</x:v>
      </x:c>
      <x:c r="H44" s="13" t="n">
        <x:v>148910</x:v>
      </x:c>
      <x:c r="I44" s="13" t="n">
        <x:v>7497</x:v>
      </x:c>
    </x:row>
    <x:row r="45">
      <x:c r="A45" s="13" t="str">
        <x:v>PE000041</x:v>
      </x:c>
      <x:c r="B45" s="13" t="str">
        <x:v>KG01</x:v>
      </x:c>
      <x:c r="C45" s="20" t="n">
        <x:v>45956</x:v>
      </x:c>
      <x:c r="D45" s="13" t="str">
        <x:v>AM</x:v>
      </x:c>
      <x:c r="E45" s="13" t="n">
        <x:v>23</x:v>
      </x:c>
      <x:c r="F45" s="13" t="str">
        <x:v>ORD-2025-00094</x:v>
      </x:c>
      <x:c r="G45" s="13" t="str">
        <x:v>Trial</x:v>
      </x:c>
      <x:c r="H45" s="13" t="n">
        <x:v>13104</x:v>
      </x:c>
      <x:c r="I45" s="13" t="n">
        <x:v>1161</x:v>
      </x:c>
    </x:row>
    <x:row r="46">
      <x:c r="A46" s="13" t="str">
        <x:v>PE000042</x:v>
      </x:c>
      <x:c r="B46" s="13" t="str">
        <x:v>KG01</x:v>
      </x:c>
      <x:c r="C46" s="20" t="n">
        <x:v>45956</x:v>
      </x:c>
      <x:c r="D46" s="13" t="str">
        <x:v>PM</x:v>
      </x:c>
      <x:c r="E46" s="13" t="n">
        <x:v>23</x:v>
      </x:c>
      <x:c r="F46" s="13" t="str">
        <x:v>ORD-2025-00094</x:v>
      </x:c>
      <x:c r="G46" s="13" t="str">
        <x:v>Normal</x:v>
      </x:c>
      <x:c r="H46" s="13" t="n">
        <x:v>182952</x:v>
      </x:c>
      <x:c r="I46" s="13" t="n">
        <x:v>11865</x:v>
      </x:c>
    </x:row>
    <x:row r="47">
      <x:c r="A47" s="13" t="str">
        <x:v>PE000043</x:v>
      </x:c>
      <x:c r="B47" s="13" t="str">
        <x:v>KG01</x:v>
      </x:c>
      <x:c r="C47" s="20" t="n">
        <x:v>45950</x:v>
      </x:c>
      <x:c r="D47" s="13" t="str">
        <x:v>AM</x:v>
      </x:c>
      <x:c r="E47" s="13" t="n">
        <x:v>24</x:v>
      </x:c>
      <x:c r="F47" s="13" t="str">
        <x:v>ORD-2025-00124</x:v>
      </x:c>
      <x:c r="G47" s="13" t="str">
        <x:v>Normal</x:v>
      </x:c>
      <x:c r="H47" s="13" t="n">
        <x:v>441792</x:v>
      </x:c>
      <x:c r="I47" s="13" t="n">
        <x:v>14398</x:v>
      </x:c>
    </x:row>
    <x:row r="48">
      <x:c r="A48" s="13" t="str">
        <x:v>PE000044</x:v>
      </x:c>
      <x:c r="B48" s="13" t="str">
        <x:v>KG01</x:v>
      </x:c>
      <x:c r="C48" s="20" t="n">
        <x:v>45950</x:v>
      </x:c>
      <x:c r="D48" s="13" t="str">
        <x:v>PM</x:v>
      </x:c>
      <x:c r="E48" s="13" t="n">
        <x:v>24</x:v>
      </x:c>
      <x:c r="F48" s="13" t="str">
        <x:v>ORD-2025-00124</x:v>
      </x:c>
      <x:c r="G48" s="13" t="str">
        <x:v>Normal</x:v>
      </x:c>
      <x:c r="H48" s="13" t="n">
        <x:v>440294</x:v>
      </x:c>
      <x:c r="I48" s="13" t="n">
        <x:v>17796</x:v>
      </x:c>
    </x:row>
    <x:row r="49">
      <x:c r="A49" s="13" t="str">
        <x:v>PE000045</x:v>
      </x:c>
      <x:c r="B49" s="13" t="str">
        <x:v>KG01</x:v>
      </x:c>
      <x:c r="C49" s="20" t="n">
        <x:v>45951</x:v>
      </x:c>
      <x:c r="D49" s="13" t="str">
        <x:v>AM</x:v>
      </x:c>
      <x:c r="E49" s="13" t="n">
        <x:v>24</x:v>
      </x:c>
      <x:c r="F49" s="13" t="str">
        <x:v>ORD-2025-00125</x:v>
      </x:c>
      <x:c r="G49" s="13" t="str">
        <x:v>Normal</x:v>
      </x:c>
      <x:c r="H49" s="13" t="n">
        <x:v>176774</x:v>
      </x:c>
      <x:c r="I49" s="13" t="n">
        <x:v>6939</x:v>
      </x:c>
    </x:row>
    <x:row r="50">
      <x:c r="A50" s="13" t="str">
        <x:v>PE000046</x:v>
      </x:c>
      <x:c r="B50" s="13" t="str">
        <x:v>KG01</x:v>
      </x:c>
      <x:c r="C50" s="20" t="n">
        <x:v>45951</x:v>
      </x:c>
      <x:c r="D50" s="13" t="str">
        <x:v>PM</x:v>
      </x:c>
      <x:c r="E50" s="13" t="n">
        <x:v>24</x:v>
      </x:c>
      <x:c r="F50" s="13" t="str">
        <x:v>ORD-2025-00125</x:v>
      </x:c>
      <x:c r="G50" s="13" t="str">
        <x:v>Normal</x:v>
      </x:c>
      <x:c r="H50" s="13" t="n">
        <x:v>303523</x:v>
      </x:c>
      <x:c r="I50" s="13" t="n">
        <x:v>11230</x:v>
      </x:c>
    </x:row>
    <x:row r="51">
      <x:c r="A51" s="13" t="str">
        <x:v>PE000047</x:v>
      </x:c>
      <x:c r="B51" s="13" t="str">
        <x:v>KG01</x:v>
      </x:c>
      <x:c r="C51" s="20" t="n">
        <x:v>45952</x:v>
      </x:c>
      <x:c r="D51" s="13" t="str">
        <x:v>AM</x:v>
      </x:c>
      <x:c r="E51" s="13" t="n">
        <x:v>24</x:v>
      </x:c>
      <x:c r="F51" s="13" t="str">
        <x:v>ORD-2025-00125</x:v>
      </x:c>
      <x:c r="G51" s="13" t="str">
        <x:v>Normal</x:v>
      </x:c>
      <x:c r="H51" s="13" t="n">
        <x:v>303264</x:v>
      </x:c>
      <x:c r="I51" s="13" t="n">
        <x:v>6331</x:v>
      </x:c>
    </x:row>
    <x:row r="52">
      <x:c r="A52" s="13" t="str">
        <x:v>PE000048</x:v>
      </x:c>
      <x:c r="B52" s="13" t="str">
        <x:v>KG01</x:v>
      </x:c>
      <x:c r="C52" s="20" t="n">
        <x:v>45952</x:v>
      </x:c>
      <x:c r="D52" s="13" t="str">
        <x:v>PM</x:v>
      </x:c>
      <x:c r="E52" s="13" t="n">
        <x:v>24</x:v>
      </x:c>
      <x:c r="F52" s="13" t="str">
        <x:v>ORD-2025-00125</x:v>
      </x:c>
      <x:c r="G52" s="13" t="str">
        <x:v>Normal</x:v>
      </x:c>
      <x:c r="H52" s="13" t="n">
        <x:v>301190</x:v>
      </x:c>
      <x:c r="I52" s="13" t="n">
        <x:v>12526</x:v>
      </x:c>
    </x:row>
    <x:row r="53">
      <x:c r="A53" s="13" t="str">
        <x:v>PE000049</x:v>
      </x:c>
      <x:c r="B53" s="13" t="str">
        <x:v>KG01</x:v>
      </x:c>
      <x:c r="C53" s="20" t="n">
        <x:v>45953</x:v>
      </x:c>
      <x:c r="D53" s="13" t="str">
        <x:v>AM</x:v>
      </x:c>
      <x:c r="E53" s="13" t="n">
        <x:v>24</x:v>
      </x:c>
      <x:c r="F53" s="13" t="str">
        <x:v>ORD-2025-00125</x:v>
      </x:c>
      <x:c r="G53" s="13" t="str">
        <x:v>Normal</x:v>
      </x:c>
      <x:c r="H53" s="13" t="n">
        <x:v>327694</x:v>
      </x:c>
      <x:c r="I53" s="13" t="n">
        <x:v>16477</x:v>
      </x:c>
    </x:row>
    <x:row r="54">
      <x:c r="A54" s="13" t="str">
        <x:v>PE000050</x:v>
      </x:c>
      <x:c r="B54" s="13" t="str">
        <x:v>KG01</x:v>
      </x:c>
      <x:c r="C54" s="20" t="n">
        <x:v>45953</x:v>
      </x:c>
      <x:c r="D54" s="13" t="str">
        <x:v>PM</x:v>
      </x:c>
      <x:c r="E54" s="13" t="n">
        <x:v>24</x:v>
      </x:c>
      <x:c r="F54" s="13" t="str">
        <x:v>ORD-2025-00125</x:v>
      </x:c>
      <x:c r="G54" s="13" t="str">
        <x:v>Normal</x:v>
      </x:c>
      <x:c r="H54" s="13" t="n">
        <x:v>278705</x:v>
      </x:c>
      <x:c r="I54" s="13" t="n">
        <x:v>9377</x:v>
      </x:c>
    </x:row>
    <x:row r="55">
      <x:c r="A55" s="13" t="str">
        <x:v>PE000051</x:v>
      </x:c>
      <x:c r="B55" s="13" t="str">
        <x:v>KG01</x:v>
      </x:c>
      <x:c r="C55" s="20" t="n">
        <x:v>45954</x:v>
      </x:c>
      <x:c r="D55" s="13" t="str">
        <x:v>AM</x:v>
      </x:c>
      <x:c r="E55" s="13" t="n">
        <x:v>24</x:v>
      </x:c>
      <x:c r="F55" s="13" t="str">
        <x:v>ORD-2025-00125</x:v>
      </x:c>
      <x:c r="G55" s="13" t="str">
        <x:v>Normal</x:v>
      </x:c>
      <x:c r="H55" s="13" t="n">
        <x:v>275378</x:v>
      </x:c>
      <x:c r="I55" s="13" t="n">
        <x:v>13071</x:v>
      </x:c>
    </x:row>
    <x:row r="56">
      <x:c r="A56" s="13" t="str">
        <x:v>PE000052</x:v>
      </x:c>
      <x:c r="B56" s="13" t="str">
        <x:v>KG01</x:v>
      </x:c>
      <x:c r="C56" s="20" t="n">
        <x:v>45954</x:v>
      </x:c>
      <x:c r="D56" s="13" t="str">
        <x:v>PM</x:v>
      </x:c>
      <x:c r="E56" s="13" t="n">
        <x:v>24</x:v>
      </x:c>
      <x:c r="F56" s="13" t="str">
        <x:v>ORD-2025-00125</x:v>
      </x:c>
      <x:c r="G56" s="13" t="str">
        <x:v>Normal</x:v>
      </x:c>
      <x:c r="H56" s="13" t="n">
        <x:v>330221</x:v>
      </x:c>
      <x:c r="I56" s="13" t="n">
        <x:v>14154</x:v>
      </x:c>
    </x:row>
    <x:row r="57">
      <x:c r="A57" s="13" t="str">
        <x:v>PE000053</x:v>
      </x:c>
      <x:c r="B57" s="13" t="str">
        <x:v>KG01</x:v>
      </x:c>
      <x:c r="C57" s="20" t="n">
        <x:v>45955</x:v>
      </x:c>
      <x:c r="D57" s="13" t="str">
        <x:v>AM</x:v>
      </x:c>
      <x:c r="E57" s="13" t="n">
        <x:v>24</x:v>
      </x:c>
      <x:c r="F57" s="13" t="str">
        <x:v>ORD-2025-00126</x:v>
      </x:c>
      <x:c r="G57" s="13" t="str">
        <x:v>Normal</x:v>
      </x:c>
      <x:c r="H57" s="13" t="n">
        <x:v>149054</x:v>
      </x:c>
      <x:c r="I57" s="13" t="n">
        <x:v>4816</x:v>
      </x:c>
    </x:row>
    <x:row r="58">
      <x:c r="A58" s="13" t="str">
        <x:v>PE000054</x:v>
      </x:c>
      <x:c r="B58" s="13" t="str">
        <x:v>KG01</x:v>
      </x:c>
      <x:c r="C58" s="20" t="n">
        <x:v>45955</x:v>
      </x:c>
      <x:c r="D58" s="13" t="str">
        <x:v>PM</x:v>
      </x:c>
      <x:c r="E58" s="13" t="n">
        <x:v>24</x:v>
      </x:c>
      <x:c r="F58" s="13" t="str">
        <x:v>ORD-2025-00126</x:v>
      </x:c>
      <x:c r="G58" s="13" t="str">
        <x:v>Normal</x:v>
      </x:c>
      <x:c r="H58" s="13" t="n">
        <x:v>150466</x:v>
      </x:c>
      <x:c r="I58" s="13" t="n">
        <x:v>6779</x:v>
      </x:c>
    </x:row>
    <x:row r="59">
      <x:c r="A59" s="13" t="str">
        <x:v>PE000055</x:v>
      </x:c>
      <x:c r="B59" s="13" t="str">
        <x:v>KG01</x:v>
      </x:c>
      <x:c r="C59" s="20" t="n">
        <x:v>45956</x:v>
      </x:c>
      <x:c r="D59" s="13" t="str">
        <x:v>AM</x:v>
      </x:c>
      <x:c r="E59" s="13" t="n">
        <x:v>24</x:v>
      </x:c>
      <x:c r="F59" s="13" t="str">
        <x:v>ORD-2025-00126</x:v>
      </x:c>
      <x:c r="G59" s="13" t="str">
        <x:v>Normal</x:v>
      </x:c>
      <x:c r="H59" s="13" t="n">
        <x:v>185645</x:v>
      </x:c>
      <x:c r="I59" s="13" t="n">
        <x:v>7322</x:v>
      </x:c>
    </x:row>
    <x:row r="60">
      <x:c r="A60" s="13" t="str">
        <x:v>PE000056</x:v>
      </x:c>
      <x:c r="B60" s="13" t="str">
        <x:v>KG01</x:v>
      </x:c>
      <x:c r="C60" s="20" t="n">
        <x:v>45956</x:v>
      </x:c>
      <x:c r="D60" s="13" t="str">
        <x:v>PM</x:v>
      </x:c>
      <x:c r="E60" s="13" t="n">
        <x:v>24</x:v>
      </x:c>
      <x:c r="F60" s="13" t="str">
        <x:v>ORD-2025-00126</x:v>
      </x:c>
      <x:c r="G60" s="13" t="str">
        <x:v>Normal</x:v>
      </x:c>
      <x:c r="H60" s="13" t="n">
        <x:v>151632</x:v>
      </x:c>
      <x:c r="I60" s="13" t="n">
        <x:v>7085</x:v>
      </x:c>
    </x:row>
    <x:row r="61">
      <x:c r="A61" s="13" t="str">
        <x:v>PE000057</x:v>
      </x:c>
      <x:c r="B61" s="13" t="str">
        <x:v>KG01</x:v>
      </x:c>
      <x:c r="C61" s="20" t="n">
        <x:v>45950</x:v>
      </x:c>
      <x:c r="D61" s="13" t="str">
        <x:v>AM</x:v>
      </x:c>
      <x:c r="E61" s="13" t="n">
        <x:v>25</x:v>
      </x:c>
      <x:c r="F61" s="13" t="str">
        <x:v>ORD-2025-00161</x:v>
      </x:c>
      <x:c r="G61" s="13" t="str">
        <x:v>Normal</x:v>
      </x:c>
      <x:c r="H61" s="13" t="n">
        <x:v>112992</x:v>
      </x:c>
      <x:c r="I61" s="13" t="n">
        <x:v>2749</x:v>
      </x:c>
    </x:row>
    <x:row r="62">
      <x:c r="A62" s="13" t="str">
        <x:v>PE000058</x:v>
      </x:c>
      <x:c r="B62" s="13" t="str">
        <x:v>KG01</x:v>
      </x:c>
      <x:c r="C62" s="20" t="n">
        <x:v>45950</x:v>
      </x:c>
      <x:c r="D62" s="13" t="str">
        <x:v>PM</x:v>
      </x:c>
      <x:c r="E62" s="13" t="n">
        <x:v>25</x:v>
      </x:c>
      <x:c r="F62" s="13" t="str">
        <x:v>ORD-2025-00161</x:v>
      </x:c>
      <x:c r="G62" s="13" t="str">
        <x:v>Normal</x:v>
      </x:c>
      <x:c r="H62" s="13" t="n">
        <x:v>111264</x:v>
      </x:c>
      <x:c r="I62" s="13" t="n">
        <x:v>5916</x:v>
      </x:c>
    </x:row>
    <x:row r="63">
      <x:c r="A63" s="13" t="str">
        <x:v>PE000059</x:v>
      </x:c>
      <x:c r="B63" s="13" t="str">
        <x:v>KG01</x:v>
      </x:c>
      <x:c r="C63" s="20" t="n">
        <x:v>45951</x:v>
      </x:c>
      <x:c r="D63" s="13" t="str">
        <x:v>AM</x:v>
      </x:c>
      <x:c r="E63" s="13" t="n">
        <x:v>25</x:v>
      </x:c>
      <x:c r="F63" s="13" t="str">
        <x:v>ORD-2025-00161</x:v>
      </x:c>
      <x:c r="G63" s="13" t="str">
        <x:v>Normal</x:v>
      </x:c>
      <x:c r="H63" s="13" t="n">
        <x:v>102384</x:v>
      </x:c>
      <x:c r="I63" s="13" t="n">
        <x:v>5268</x:v>
      </x:c>
    </x:row>
    <x:row r="64">
      <x:c r="A64" s="13" t="str">
        <x:v>PE000060</x:v>
      </x:c>
      <x:c r="B64" s="13" t="str">
        <x:v>KG01</x:v>
      </x:c>
      <x:c r="C64" s="20" t="n">
        <x:v>45951</x:v>
      </x:c>
      <x:c r="D64" s="13" t="str">
        <x:v>PM</x:v>
      </x:c>
      <x:c r="E64" s="13" t="n">
        <x:v>25</x:v>
      </x:c>
      <x:c r="F64" s="13" t="str">
        <x:v>ORD-2025-00161</x:v>
      </x:c>
      <x:c r="G64" s="13" t="str">
        <x:v>Normal</x:v>
      </x:c>
      <x:c r="H64" s="13" t="n">
        <x:v>101779</x:v>
      </x:c>
      <x:c r="I64" s="13" t="n">
        <x:v>5792</x:v>
      </x:c>
    </x:row>
    <x:row r="65">
      <x:c r="A65" s="13" t="str">
        <x:v>PE000061</x:v>
      </x:c>
      <x:c r="B65" s="13" t="str">
        <x:v>KG01</x:v>
      </x:c>
      <x:c r="C65" s="20" t="n">
        <x:v>45952</x:v>
      </x:c>
      <x:c r="D65" s="13" t="str">
        <x:v>AM</x:v>
      </x:c>
      <x:c r="E65" s="13" t="n">
        <x:v>25</x:v>
      </x:c>
      <x:c r="F65" s="13" t="str">
        <x:v>ORD-2025-00161</x:v>
      </x:c>
      <x:c r="G65" s="13" t="str">
        <x:v>Normal</x:v>
      </x:c>
      <x:c r="H65" s="13" t="n">
        <x:v>99187</x:v>
      </x:c>
      <x:c r="I65" s="13" t="n">
        <x:v>4270</x:v>
      </x:c>
    </x:row>
    <x:row r="66">
      <x:c r="A66" s="13" t="str">
        <x:v>PE000062</x:v>
      </x:c>
      <x:c r="B66" s="13" t="str">
        <x:v>KG01</x:v>
      </x:c>
      <x:c r="C66" s="20" t="n">
        <x:v>45952</x:v>
      </x:c>
      <x:c r="D66" s="13" t="str">
        <x:v>PM</x:v>
      </x:c>
      <x:c r="E66" s="13" t="n">
        <x:v>25</x:v>
      </x:c>
      <x:c r="F66" s="13" t="str">
        <x:v>ORD-2025-00161</x:v>
      </x:c>
      <x:c r="G66" s="13" t="str">
        <x:v>Normal</x:v>
      </x:c>
      <x:c r="H66" s="13" t="n">
        <x:v>99533</x:v>
      </x:c>
      <x:c r="I66" s="13" t="n">
        <x:v>6183</x:v>
      </x:c>
    </x:row>
    <x:row r="67">
      <x:c r="A67" s="13" t="str">
        <x:v>PE000063</x:v>
      </x:c>
      <x:c r="B67" s="13" t="str">
        <x:v>KG01</x:v>
      </x:c>
      <x:c r="C67" s="20" t="n">
        <x:v>45953</x:v>
      </x:c>
      <x:c r="D67" s="13" t="str">
        <x:v>AM</x:v>
      </x:c>
      <x:c r="E67" s="13" t="n">
        <x:v>25</x:v>
      </x:c>
      <x:c r="F67" s="13" t="str">
        <x:v>ORD-2025-00162</x:v>
      </x:c>
      <x:c r="G67" s="13" t="str">
        <x:v>Normal</x:v>
      </x:c>
      <x:c r="H67" s="13" t="n">
        <x:v>128909</x:v>
      </x:c>
      <x:c r="I67" s="13" t="n">
        <x:v>6613</x:v>
      </x:c>
    </x:row>
    <x:row r="68">
      <x:c r="A68" s="13" t="str">
        <x:v>PE000064</x:v>
      </x:c>
      <x:c r="B68" s="13" t="str">
        <x:v>KG01</x:v>
      </x:c>
      <x:c r="C68" s="20" t="n">
        <x:v>45953</x:v>
      </x:c>
      <x:c r="D68" s="13" t="str">
        <x:v>PM</x:v>
      </x:c>
      <x:c r="E68" s="13" t="n">
        <x:v>25</x:v>
      </x:c>
      <x:c r="F68" s="13" t="str">
        <x:v>ORD-2025-00162</x:v>
      </x:c>
      <x:c r="G68" s="13" t="str">
        <x:v>Normal</x:v>
      </x:c>
      <x:c r="H68" s="13" t="n">
        <x:v>198547</x:v>
      </x:c>
      <x:c r="I68" s="13" t="n">
        <x:v>12718</x:v>
      </x:c>
    </x:row>
    <x:row r="69">
      <x:c r="A69" s="13" t="str">
        <x:v>PE000065</x:v>
      </x:c>
      <x:c r="B69" s="13" t="str">
        <x:v>KG01</x:v>
      </x:c>
      <x:c r="C69" s="20" t="n">
        <x:v>45954</x:v>
      </x:c>
      <x:c r="D69" s="13" t="str">
        <x:v>AM</x:v>
      </x:c>
      <x:c r="E69" s="13" t="n">
        <x:v>25</x:v>
      </x:c>
      <x:c r="F69" s="13" t="str">
        <x:v>ORD-2025-00162</x:v>
      </x:c>
      <x:c r="G69" s="13" t="str">
        <x:v>Normal</x:v>
      </x:c>
      <x:c r="H69" s="13" t="n">
        <x:v>184219</x:v>
      </x:c>
      <x:c r="I69" s="13" t="n">
        <x:v>10139</x:v>
      </x:c>
    </x:row>
    <x:row r="70">
      <x:c r="A70" s="13" t="str">
        <x:v>PE000066</x:v>
      </x:c>
      <x:c r="B70" s="13" t="str">
        <x:v>KG01</x:v>
      </x:c>
      <x:c r="C70" s="20" t="n">
        <x:v>45954</x:v>
      </x:c>
      <x:c r="D70" s="13" t="str">
        <x:v>PM</x:v>
      </x:c>
      <x:c r="E70" s="13" t="n">
        <x:v>25</x:v>
      </x:c>
      <x:c r="F70" s="13" t="str">
        <x:v>ORD-2025-00162</x:v>
      </x:c>
      <x:c r="G70" s="13" t="str">
        <x:v>Normal</x:v>
      </x:c>
      <x:c r="H70" s="13" t="n">
        <x:v>183586</x:v>
      </x:c>
      <x:c r="I70" s="13" t="n">
        <x:v>11342</x:v>
      </x:c>
    </x:row>
    <x:row r="71">
      <x:c r="A71" s="13" t="str">
        <x:v>PE000067</x:v>
      </x:c>
      <x:c r="B71" s="13" t="str">
        <x:v>KG01</x:v>
      </x:c>
      <x:c r="C71" s="20" t="n">
        <x:v>45955</x:v>
      </x:c>
      <x:c r="D71" s="13" t="str">
        <x:v>AM</x:v>
      </x:c>
      <x:c r="E71" s="13" t="n">
        <x:v>25</x:v>
      </x:c>
      <x:c r="F71" s="13" t="str">
        <x:v>ORD-2025-00162</x:v>
      </x:c>
      <x:c r="G71" s="13" t="str">
        <x:v>Normal</x:v>
      </x:c>
      <x:c r="H71" s="13" t="n">
        <x:v>182794</x:v>
      </x:c>
      <x:c r="I71" s="13" t="n">
        <x:v>9330</x:v>
      </x:c>
    </x:row>
    <x:row r="72">
      <x:c r="A72" s="13" t="str">
        <x:v>PE000068</x:v>
      </x:c>
      <x:c r="B72" s="13" t="str">
        <x:v>KG01</x:v>
      </x:c>
      <x:c r="C72" s="20" t="n">
        <x:v>45955</x:v>
      </x:c>
      <x:c r="D72" s="13" t="str">
        <x:v>PM</x:v>
      </x:c>
      <x:c r="E72" s="13" t="n">
        <x:v>25</x:v>
      </x:c>
      <x:c r="F72" s="13" t="str">
        <x:v>ORD-2025-00162</x:v>
      </x:c>
      <x:c r="G72" s="13" t="str">
        <x:v>Normal</x:v>
      </x:c>
      <x:c r="H72" s="13" t="n">
        <x:v>202694</x:v>
      </x:c>
      <x:c r="I72" s="13" t="n">
        <x:v>6003</x:v>
      </x:c>
    </x:row>
    <x:row r="73">
      <x:c r="A73" s="13" t="str">
        <x:v>PE000069</x:v>
      </x:c>
      <x:c r="B73" s="13" t="str">
        <x:v>KG01</x:v>
      </x:c>
      <x:c r="C73" s="20" t="n">
        <x:v>45956</x:v>
      </x:c>
      <x:c r="D73" s="13" t="str">
        <x:v>AM</x:v>
      </x:c>
      <x:c r="E73" s="13" t="n">
        <x:v>25</x:v>
      </x:c>
      <x:c r="F73" s="13" t="str">
        <x:v>ORD-2025-00162</x:v>
      </x:c>
      <x:c r="G73" s="13" t="str">
        <x:v>Normal</x:v>
      </x:c>
      <x:c r="H73" s="13" t="n">
        <x:v>200966</x:v>
      </x:c>
      <x:c r="I73" s="13" t="n">
        <x:v>13046</x:v>
      </x:c>
    </x:row>
    <x:row r="74">
      <x:c r="A74" s="13" t="str">
        <x:v>PE000070</x:v>
      </x:c>
      <x:c r="B74" s="13" t="str">
        <x:v>KG01</x:v>
      </x:c>
      <x:c r="C74" s="20" t="n">
        <x:v>45956</x:v>
      </x:c>
      <x:c r="D74" s="13" t="str">
        <x:v>PM</x:v>
      </x:c>
      <x:c r="E74" s="13" t="n">
        <x:v>25</x:v>
      </x:c>
      <x:c r="F74" s="13" t="str">
        <x:v>ORD-2025-00162</x:v>
      </x:c>
      <x:c r="G74" s="13" t="str">
        <x:v>Normal</x:v>
      </x:c>
      <x:c r="H74" s="13" t="n">
        <x:v>185962</x:v>
      </x:c>
      <x:c r="I74" s="13" t="n">
        <x:v>8299</x:v>
      </x:c>
    </x:row>
  </x:sheetData>
  <x:pageMargins left="0.7" right="0.7" top="0.75" bottom="0.75" header="0.3" footer="0.3"/>
  <x:tableParts count="1">
    <x:tablePart xmlns:r="http://schemas.openxmlformats.org/officeDocument/2006/relationships" r:id="Re05bfcb2e935478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.880000114440918" hidden="0" customWidth="1"/>
    <x:col min="2" max="2" width="7.880000114440918" hidden="0" customWidth="1"/>
    <x:col min="3" max="3" width="8.630000114440918" hidden="0" customWidth="1"/>
    <x:col min="4" max="4" width="13.380000114440918" hidden="0" customWidth="1"/>
    <x:col min="5" max="5" width="14.75" hidden="0" customWidth="1"/>
  </x:cols>
  <x:sheetData>
    <x:row r="1">
      <x:c r="A1" s="7" t="str">
        <x:v>LineNumber</x:v>
      </x:c>
      <x:c r="B1" s="7" t="str">
        <x:v>ShiftCode</x:v>
      </x:c>
      <x:c r="C1" s="7" t="str">
        <x:v>CaseName</x:v>
      </x:c>
      <x:c r="D1" s="7" t="str">
        <x:v>OrderNumber</x:v>
      </x:c>
      <x:c r="E1" s="7" t="str">
        <x:v>ProductionEventID</x:v>
      </x:c>
    </x:row>
    <x:row r="2">
      <x:c r="A2" t="n">
        <x:v>21</x:v>
      </x:c>
      <x:c r="B2" t="str">
        <x:v>AM</x:v>
      </x:c>
      <x:c r="C2" t="str">
        <x:v>Normal</x:v>
      </x:c>
      <x:c r="D2" t="str">
        <x:v>ORD-2025-00019</x:v>
      </x:c>
      <x:c r="E2" t="str">
        <x:v>PE000001</x:v>
      </x:c>
    </x:row>
    <x:row r="3">
      <x:c r="A3" t="n">
        <x:v>22</x:v>
      </x:c>
      <x:c r="B3" t="str">
        <x:v>PM</x:v>
      </x:c>
      <x:c r="C3" t="str">
        <x:v>Trial</x:v>
      </x:c>
      <x:c r="D3" t="str">
        <x:v>ORD-2025-00020</x:v>
      </x:c>
      <x:c r="E3" t="str">
        <x:v>PE000002</x:v>
      </x:c>
    </x:row>
    <x:row r="4">
      <x:c r="A4" t="n">
        <x:v>23</x:v>
      </x:c>
      <x:c r="B4"/>
      <x:c r="C4" t="str">
        <x:v>Reworking</x:v>
      </x:c>
      <x:c r="D4" t="str">
        <x:v>ORD-2025-00021</x:v>
      </x:c>
      <x:c r="E4" t="str">
        <x:v>PE000003</x:v>
      </x:c>
    </x:row>
    <x:row r="5">
      <x:c r="A5" t="n">
        <x:v>24</x:v>
      </x:c>
      <x:c r="B5"/>
      <x:c r="C5"/>
      <x:c r="D5" t="str">
        <x:v>ORD-2025-00055</x:v>
      </x:c>
      <x:c r="E5" t="str">
        <x:v>PE000004</x:v>
      </x:c>
    </x:row>
    <x:row r="6">
      <x:c r="A6" t="n">
        <x:v>25</x:v>
      </x:c>
      <x:c r="B6"/>
      <x:c r="C6"/>
      <x:c r="D6" t="str">
        <x:v>ORD-2025-00056</x:v>
      </x:c>
      <x:c r="E6" t="str">
        <x:v>PE000005</x:v>
      </x:c>
    </x:row>
    <x:row r="7">
      <x:c r="A7"/>
      <x:c r="B7"/>
      <x:c r="C7"/>
      <x:c r="D7" t="str">
        <x:v>ORD-2025-00057</x:v>
      </x:c>
      <x:c r="E7" t="str">
        <x:v>PE000006</x:v>
      </x:c>
    </x:row>
    <x:row r="8">
      <x:c r="A8"/>
      <x:c r="B8"/>
      <x:c r="C8"/>
      <x:c r="D8" t="str">
        <x:v>ORD-2025-00058</x:v>
      </x:c>
      <x:c r="E8" t="str">
        <x:v>PE000007</x:v>
      </x:c>
    </x:row>
    <x:row r="9">
      <x:c r="A9"/>
      <x:c r="B9"/>
      <x:c r="C9"/>
      <x:c r="D9" t="str">
        <x:v>ORD-2025-00092</x:v>
      </x:c>
      <x:c r="E9" t="str">
        <x:v>PE000008</x:v>
      </x:c>
    </x:row>
    <x:row r="10">
      <x:c r="A10"/>
      <x:c r="B10"/>
      <x:c r="C10"/>
      <x:c r="D10" t="str">
        <x:v>ORD-2025-00093</x:v>
      </x:c>
      <x:c r="E10" t="str">
        <x:v>PE000009</x:v>
      </x:c>
    </x:row>
    <x:row r="11">
      <x:c r="A11"/>
      <x:c r="B11"/>
      <x:c r="C11"/>
      <x:c r="D11" t="str">
        <x:v>ORD-2025-00094</x:v>
      </x:c>
      <x:c r="E11" t="str">
        <x:v>PE000010</x:v>
      </x:c>
    </x:row>
    <x:row r="12">
      <x:c r="A12"/>
      <x:c r="B12"/>
      <x:c r="C12"/>
      <x:c r="D12" t="str">
        <x:v>ORD-2025-00124</x:v>
      </x:c>
      <x:c r="E12" t="str">
        <x:v>PE000011</x:v>
      </x:c>
    </x:row>
    <x:row r="13">
      <x:c r="A13"/>
      <x:c r="B13"/>
      <x:c r="C13"/>
      <x:c r="D13" t="str">
        <x:v>ORD-2025-00125</x:v>
      </x:c>
      <x:c r="E13" t="str">
        <x:v>PE000012</x:v>
      </x:c>
    </x:row>
    <x:row r="14">
      <x:c r="A14"/>
      <x:c r="B14"/>
      <x:c r="C14"/>
      <x:c r="D14" t="str">
        <x:v>ORD-2025-00126</x:v>
      </x:c>
      <x:c r="E14" t="str">
        <x:v>PE000013</x:v>
      </x:c>
    </x:row>
    <x:row r="15">
      <x:c r="A15"/>
      <x:c r="B15"/>
      <x:c r="C15"/>
      <x:c r="D15" t="str">
        <x:v>ORD-2025-00161</x:v>
      </x:c>
      <x:c r="E15" t="str">
        <x:v>PE000014</x:v>
      </x:c>
    </x:row>
    <x:row r="16">
      <x:c r="A16"/>
      <x:c r="B16"/>
      <x:c r="C16"/>
      <x:c r="D16" t="str">
        <x:v>ORD-2025-00162</x:v>
      </x:c>
      <x:c r="E16" t="str">
        <x:v>PE000015</x:v>
      </x:c>
    </x:row>
    <x:row r="17">
      <x:c r="A17"/>
      <x:c r="B17"/>
      <x:c r="C17"/>
      <x:c r="D17"/>
      <x:c r="E17" t="str">
        <x:v>PE000016</x:v>
      </x:c>
    </x:row>
    <x:row r="18">
      <x:c r="A18"/>
      <x:c r="B18"/>
      <x:c r="C18"/>
      <x:c r="D18"/>
      <x:c r="E18" t="str">
        <x:v>PE000017</x:v>
      </x:c>
    </x:row>
    <x:row r="19">
      <x:c r="A19"/>
      <x:c r="B19"/>
      <x:c r="C19"/>
      <x:c r="D19"/>
      <x:c r="E19" t="str">
        <x:v>PE000018</x:v>
      </x:c>
    </x:row>
    <x:row r="20">
      <x:c r="A20"/>
      <x:c r="B20"/>
      <x:c r="C20"/>
      <x:c r="D20"/>
      <x:c r="E20" t="str">
        <x:v>PE000019</x:v>
      </x:c>
    </x:row>
    <x:row r="21">
      <x:c r="A21"/>
      <x:c r="B21"/>
      <x:c r="C21"/>
      <x:c r="D21"/>
      <x:c r="E21" t="str">
        <x:v>PE000020</x:v>
      </x:c>
    </x:row>
    <x:row r="22">
      <x:c r="A22"/>
      <x:c r="B22"/>
      <x:c r="C22"/>
      <x:c r="D22"/>
      <x:c r="E22" t="str">
        <x:v>PE000021</x:v>
      </x:c>
    </x:row>
    <x:row r="23">
      <x:c r="A23"/>
      <x:c r="B23"/>
      <x:c r="C23"/>
      <x:c r="D23"/>
      <x:c r="E23" t="str">
        <x:v>PE000022</x:v>
      </x:c>
    </x:row>
    <x:row r="24">
      <x:c r="A24"/>
      <x:c r="B24"/>
      <x:c r="C24"/>
      <x:c r="D24"/>
      <x:c r="E24" t="str">
        <x:v>PE000023</x:v>
      </x:c>
    </x:row>
    <x:row r="25">
      <x:c r="A25"/>
      <x:c r="B25"/>
      <x:c r="C25"/>
      <x:c r="D25"/>
      <x:c r="E25" t="str">
        <x:v>PE000024</x:v>
      </x:c>
    </x:row>
    <x:row r="26">
      <x:c r="A26"/>
      <x:c r="B26"/>
      <x:c r="C26"/>
      <x:c r="D26"/>
      <x:c r="E26" t="str">
        <x:v>PE000025</x:v>
      </x:c>
    </x:row>
    <x:row r="27">
      <x:c r="A27"/>
      <x:c r="B27"/>
      <x:c r="C27"/>
      <x:c r="D27"/>
      <x:c r="E27" t="str">
        <x:v>PE000026</x:v>
      </x:c>
    </x:row>
    <x:row r="28">
      <x:c r="A28"/>
      <x:c r="B28"/>
      <x:c r="C28"/>
      <x:c r="D28"/>
      <x:c r="E28" t="str">
        <x:v>PE000027</x:v>
      </x:c>
    </x:row>
    <x:row r="29">
      <x:c r="A29"/>
      <x:c r="B29"/>
      <x:c r="C29"/>
      <x:c r="D29"/>
      <x:c r="E29" t="str">
        <x:v>PE000028</x:v>
      </x:c>
    </x:row>
    <x:row r="30">
      <x:c r="A30"/>
      <x:c r="B30"/>
      <x:c r="C30"/>
      <x:c r="D30"/>
      <x:c r="E30" t="str">
        <x:v>PE000029</x:v>
      </x:c>
    </x:row>
    <x:row r="31">
      <x:c r="A31"/>
      <x:c r="B31"/>
      <x:c r="C31"/>
      <x:c r="D31"/>
      <x:c r="E31" t="str">
        <x:v>PE000030</x:v>
      </x:c>
    </x:row>
    <x:row r="32">
      <x:c r="A32"/>
      <x:c r="B32"/>
      <x:c r="C32"/>
      <x:c r="D32"/>
      <x:c r="E32" t="str">
        <x:v>PE000031</x:v>
      </x:c>
    </x:row>
    <x:row r="33">
      <x:c r="A33"/>
      <x:c r="B33"/>
      <x:c r="C33"/>
      <x:c r="D33"/>
      <x:c r="E33" t="str">
        <x:v>PE000032</x:v>
      </x:c>
    </x:row>
    <x:row r="34">
      <x:c r="A34"/>
      <x:c r="B34"/>
      <x:c r="C34"/>
      <x:c r="D34"/>
      <x:c r="E34" t="str">
        <x:v>PE000033</x:v>
      </x:c>
    </x:row>
    <x:row r="35">
      <x:c r="A35"/>
      <x:c r="B35"/>
      <x:c r="C35"/>
      <x:c r="D35"/>
      <x:c r="E35" t="str">
        <x:v>PE000034</x:v>
      </x:c>
    </x:row>
    <x:row r="36">
      <x:c r="A36"/>
      <x:c r="B36"/>
      <x:c r="C36"/>
      <x:c r="D36"/>
      <x:c r="E36" t="str">
        <x:v>PE000035</x:v>
      </x:c>
    </x:row>
    <x:row r="37">
      <x:c r="A37"/>
      <x:c r="B37"/>
      <x:c r="C37"/>
      <x:c r="D37"/>
      <x:c r="E37" t="str">
        <x:v>PE000036</x:v>
      </x:c>
    </x:row>
    <x:row r="38">
      <x:c r="A38"/>
      <x:c r="B38"/>
      <x:c r="C38"/>
      <x:c r="D38"/>
      <x:c r="E38" t="str">
        <x:v>PE000037</x:v>
      </x:c>
    </x:row>
    <x:row r="39">
      <x:c r="A39"/>
      <x:c r="B39"/>
      <x:c r="C39"/>
      <x:c r="D39"/>
      <x:c r="E39" t="str">
        <x:v>PE000038</x:v>
      </x:c>
    </x:row>
    <x:row r="40">
      <x:c r="A40"/>
      <x:c r="B40"/>
      <x:c r="C40"/>
      <x:c r="D40"/>
      <x:c r="E40" t="str">
        <x:v>PE000039</x:v>
      </x:c>
    </x:row>
    <x:row r="41">
      <x:c r="A41"/>
      <x:c r="B41"/>
      <x:c r="C41"/>
      <x:c r="D41"/>
      <x:c r="E41" t="str">
        <x:v>PE000040</x:v>
      </x:c>
    </x:row>
    <x:row r="42">
      <x:c r="A42"/>
      <x:c r="B42"/>
      <x:c r="C42"/>
      <x:c r="D42"/>
      <x:c r="E42" t="str">
        <x:v>PE000041</x:v>
      </x:c>
    </x:row>
    <x:row r="43">
      <x:c r="A43"/>
      <x:c r="B43"/>
      <x:c r="C43"/>
      <x:c r="D43"/>
      <x:c r="E43" t="str">
        <x:v>PE000042</x:v>
      </x:c>
    </x:row>
    <x:row r="44">
      <x:c r="A44"/>
      <x:c r="B44"/>
      <x:c r="C44"/>
      <x:c r="D44"/>
      <x:c r="E44" t="str">
        <x:v>PE000043</x:v>
      </x:c>
    </x:row>
    <x:row r="45">
      <x:c r="A45"/>
      <x:c r="B45"/>
      <x:c r="C45"/>
      <x:c r="D45"/>
      <x:c r="E45" t="str">
        <x:v>PE000044</x:v>
      </x:c>
    </x:row>
    <x:row r="46">
      <x:c r="A46"/>
      <x:c r="B46"/>
      <x:c r="C46"/>
      <x:c r="D46"/>
      <x:c r="E46" t="str">
        <x:v>PE000045</x:v>
      </x:c>
    </x:row>
    <x:row r="47">
      <x:c r="A47"/>
      <x:c r="B47"/>
      <x:c r="C47"/>
      <x:c r="D47"/>
      <x:c r="E47" t="str">
        <x:v>PE000046</x:v>
      </x:c>
    </x:row>
    <x:row r="48">
      <x:c r="A48"/>
      <x:c r="B48"/>
      <x:c r="C48"/>
      <x:c r="D48"/>
      <x:c r="E48" t="str">
        <x:v>PE000047</x:v>
      </x:c>
    </x:row>
    <x:row r="49">
      <x:c r="A49"/>
      <x:c r="B49"/>
      <x:c r="C49"/>
      <x:c r="D49"/>
      <x:c r="E49" t="str">
        <x:v>PE000048</x:v>
      </x:c>
    </x:row>
    <x:row r="50">
      <x:c r="A50"/>
      <x:c r="B50"/>
      <x:c r="C50"/>
      <x:c r="D50"/>
      <x:c r="E50" t="str">
        <x:v>PE000049</x:v>
      </x:c>
    </x:row>
    <x:row r="51">
      <x:c r="A51"/>
      <x:c r="B51"/>
      <x:c r="C51"/>
      <x:c r="D51"/>
      <x:c r="E51" t="str">
        <x:v>PE000050</x:v>
      </x:c>
    </x:row>
    <x:row r="52">
      <x:c r="A52"/>
      <x:c r="B52"/>
      <x:c r="C52"/>
      <x:c r="D52"/>
      <x:c r="E52" t="str">
        <x:v>PE000051</x:v>
      </x:c>
    </x:row>
    <x:row r="53">
      <x:c r="A53"/>
      <x:c r="B53"/>
      <x:c r="C53"/>
      <x:c r="D53"/>
      <x:c r="E53" t="str">
        <x:v>PE000052</x:v>
      </x:c>
    </x:row>
    <x:row r="54">
      <x:c r="A54"/>
      <x:c r="B54"/>
      <x:c r="C54"/>
      <x:c r="D54"/>
      <x:c r="E54" t="str">
        <x:v>PE000053</x:v>
      </x:c>
    </x:row>
    <x:row r="55">
      <x:c r="A55"/>
      <x:c r="B55"/>
      <x:c r="C55"/>
      <x:c r="D55"/>
      <x:c r="E55" t="str">
        <x:v>PE000054</x:v>
      </x:c>
    </x:row>
    <x:row r="56">
      <x:c r="A56"/>
      <x:c r="B56"/>
      <x:c r="C56"/>
      <x:c r="D56"/>
      <x:c r="E56" t="str">
        <x:v>PE000055</x:v>
      </x:c>
    </x:row>
    <x:row r="57">
      <x:c r="A57"/>
      <x:c r="B57"/>
      <x:c r="C57"/>
      <x:c r="D57"/>
      <x:c r="E57" t="str">
        <x:v>PE000056</x:v>
      </x:c>
    </x:row>
    <x:row r="58">
      <x:c r="A58"/>
      <x:c r="B58"/>
      <x:c r="C58"/>
      <x:c r="D58"/>
      <x:c r="E58" t="str">
        <x:v>PE000057</x:v>
      </x:c>
    </x:row>
    <x:row r="59">
      <x:c r="A59"/>
      <x:c r="B59"/>
      <x:c r="C59"/>
      <x:c r="D59"/>
      <x:c r="E59" t="str">
        <x:v>PE000058</x:v>
      </x:c>
    </x:row>
    <x:row r="60">
      <x:c r="A60"/>
      <x:c r="B60"/>
      <x:c r="C60"/>
      <x:c r="D60"/>
      <x:c r="E60" t="str">
        <x:v>PE000059</x:v>
      </x:c>
    </x:row>
    <x:row r="61">
      <x:c r="A61"/>
      <x:c r="B61"/>
      <x:c r="C61"/>
      <x:c r="D61"/>
      <x:c r="E61" t="str">
        <x:v>PE000060</x:v>
      </x:c>
    </x:row>
    <x:row r="62">
      <x:c r="A62"/>
      <x:c r="B62"/>
      <x:c r="C62"/>
      <x:c r="D62"/>
      <x:c r="E62" t="str">
        <x:v>PE000061</x:v>
      </x:c>
    </x:row>
    <x:row r="63">
      <x:c r="A63"/>
      <x:c r="B63"/>
      <x:c r="C63"/>
      <x:c r="D63"/>
      <x:c r="E63" t="str">
        <x:v>PE000062</x:v>
      </x:c>
    </x:row>
    <x:row r="64">
      <x:c r="A64"/>
      <x:c r="B64"/>
      <x:c r="C64"/>
      <x:c r="D64"/>
      <x:c r="E64" t="str">
        <x:v>PE000063</x:v>
      </x:c>
    </x:row>
    <x:row r="65">
      <x:c r="A65"/>
      <x:c r="B65"/>
      <x:c r="C65"/>
      <x:c r="D65"/>
      <x:c r="E65" t="str">
        <x:v>PE000064</x:v>
      </x:c>
    </x:row>
    <x:row r="66">
      <x:c r="A66"/>
      <x:c r="B66"/>
      <x:c r="C66"/>
      <x:c r="D66"/>
      <x:c r="E66" t="str">
        <x:v>PE000065</x:v>
      </x:c>
    </x:row>
    <x:row r="67">
      <x:c r="A67"/>
      <x:c r="B67"/>
      <x:c r="C67"/>
      <x:c r="D67"/>
      <x:c r="E67" t="str">
        <x:v>PE000066</x:v>
      </x:c>
    </x:row>
    <x:row r="68">
      <x:c r="A68"/>
      <x:c r="B68"/>
      <x:c r="C68"/>
      <x:c r="D68"/>
      <x:c r="E68" t="str">
        <x:v>PE000067</x:v>
      </x:c>
    </x:row>
    <x:row r="69">
      <x:c r="A69"/>
      <x:c r="B69"/>
      <x:c r="C69"/>
      <x:c r="D69"/>
      <x:c r="E69" t="str">
        <x:v>PE000068</x:v>
      </x:c>
    </x:row>
    <x:row r="70">
      <x:c r="A70"/>
      <x:c r="B70"/>
      <x:c r="C70"/>
      <x:c r="D70"/>
      <x:c r="E70" t="str">
        <x:v>PE000069</x:v>
      </x:c>
    </x:row>
    <x:row r="71">
      <x:c r="A71"/>
      <x:c r="B71"/>
      <x:c r="C71"/>
      <x:c r="D71"/>
      <x:c r="E71" t="str">
        <x:v>PE000070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0.130001068115234" hidden="0" customWidth="1"/>
    <x:col min="2" max="2" width="7.5" hidden="0" customWidth="1"/>
    <x:col min="3" max="3" width="5.380000114440918" hidden="0" customWidth="1"/>
    <x:col min="4" max="4" width="5.25" hidden="0" customWidth="1"/>
  </x:cols>
  <x:sheetData>
    <x:row r="1">
      <x:c r="A1" s="12" t="str">
        <x:v>PROCESS LOSSES VALIDATION SUMMARY</x:v>
      </x:c>
      <x:c r="B1" s="12"/>
      <x:c r="C1" s="12"/>
      <x:c r="D1" s="12"/>
    </x:row>
    <x:row r="2">
      <x:c r="A2" s="13" t="str">
        <x:v>All checks should be OK before unpivot / ETL load.</x:v>
      </x:c>
      <x:c r="B2" s="13"/>
      <x:c r="C2" s="13"/>
      <x:c r="D2" s="13"/>
    </x:row>
    <x:row r="3">
      <x:c r="A3" s="13"/>
      <x:c r="B3" s="13"/>
      <x:c r="C3" s="13"/>
      <x:c r="D3" s="13"/>
    </x:row>
    <x:row r="4">
      <x:c r="A4" s="8" t="str">
        <x:v>Check</x:v>
      </x:c>
      <x:c r="B4" s="8" t="str">
        <x:v>Expected</x:v>
      </x:c>
      <x:c r="C4" s="8" t="str">
        <x:v>Actual</x:v>
      </x:c>
      <x:c r="D4" s="8" t="str">
        <x:v>Status</x:v>
      </x:c>
    </x:row>
    <x:row r="5">
      <x:c r="A5" s="13" t="str">
        <x:v>Loss rows</x:v>
      </x:c>
      <x:c r="B5" s="13" t="n">
        <x:v>70</x:v>
      </x:c>
      <x:c r="C5" s="13" t="n">
        <x:f>COUNTA(LossesOutput!S5:S74)</x:f>
        <x:v>70</x:v>
      </x:c>
      <x:c r="D5" s="13" t="str">
        <x:f>IF(B5=C5,"OK","CHECK")</x:f>
        <x:v>OK</x:v>
      </x:c>
    </x:row>
    <x:row r="6">
      <x:c r="A6" s="13" t="str">
        <x:v>Production link errors</x:v>
      </x:c>
      <x:c r="B6" s="13" t="n">
        <x:v>0</x:v>
      </x:c>
      <x:c r="C6" s="13" t="n">
        <x:f>COUNTIF(LossesOutput!X5:X74,"&lt;&gt;OK")</x:f>
        <x:v>0</x:v>
      </x:c>
      <x:c r="D6" s="13" t="str">
        <x:f>IF(B6=C6,"OK","CHECK")</x:f>
        <x:v>OK</x:v>
      </x:c>
    </x:row>
    <x:row r="7">
      <x:c r="A7" s="13" t="str">
        <x:v>Case-name mismatches</x:v>
      </x:c>
      <x:c r="B7" s="13" t="n">
        <x:v>0</x:v>
      </x:c>
      <x:c r="C7" s="13" t="n">
        <x:f>COUNTIF(LossesOutput!Y5:Y74,"&lt;&gt;OK")</x:f>
        <x:v>0</x:v>
      </x:c>
      <x:c r="D7" s="13" t="str">
        <x:f>IF(B7=C7,"OK","CHECK")</x:f>
        <x:v>OK</x:v>
      </x:c>
    </x:row>
    <x:row r="8">
      <x:c r="A8" s="13" t="str">
        <x:v>Loss/reject reconciliation errors</x:v>
      </x:c>
      <x:c r="B8" s="13" t="n">
        <x:v>0</x:v>
      </x:c>
      <x:c r="C8" s="13" t="n">
        <x:f>COUNTIF(LossesOutput!W5:W74,"&lt;&gt;OK")</x:f>
        <x:v>0</x:v>
      </x:c>
      <x:c r="D8" s="13" t="str">
        <x:f>IF(B8=C8,"OK","CHECK")</x:f>
        <x:v>OK</x:v>
      </x:c>
    </x:row>
    <x:row r="9">
      <x:c r="A9" s="13" t="str">
        <x:v>Natural-key duplicates</x:v>
      </x:c>
      <x:c r="B9" s="13" t="n">
        <x:v>0</x:v>
      </x:c>
      <x:c r="C9" s="13" t="n">
        <x:f>COUNTIF(LossesOutput!Z5:Z74,"&lt;&gt;OK")</x:f>
        <x:v>0</x:v>
      </x:c>
      <x:c r="D9" s="13" t="str">
        <x:f>IF(B9=C9,"OK","CHECK")</x:f>
        <x:v>OK</x:v>
      </x:c>
    </x:row>
    <x:row r="10">
      <x:c r="A10" s="13" t="str">
        <x:v>Loss-percent rows below 0</x:v>
      </x:c>
      <x:c r="B10" s="13" t="n">
        <x:v>0</x:v>
      </x:c>
      <x:c r="C10" s="13" t="n">
        <x:f>COUNTIF(LossesOutput!U5:U74,"&lt;0")</x:f>
        <x:v>0</x:v>
      </x:c>
      <x:c r="D10" s="13" t="str">
        <x:f>IF(B10=C10,"OK","CHECK")</x:f>
        <x:v>OK</x:v>
      </x:c>
    </x:row>
    <x:row r="11">
      <x:c r="A11" s="13" t="str">
        <x:v>Loss-percent rows above 100%</x:v>
      </x:c>
      <x:c r="B11" s="13" t="n">
        <x:v>0</x:v>
      </x:c>
      <x:c r="C11" s="13" t="n">
        <x:f>COUNTIF(LossesOutput!U5:U74,"&gt;1")</x:f>
        <x:v>0</x:v>
      </x:c>
      <x:c r="D11" s="13" t="str">
        <x:f>IF(B11=C11,"OK","CHECK")</x:f>
        <x:v>OK</x:v>
      </x:c>
    </x:row>
  </x:sheetData>
  <x:conditionalFormatting sqref="D5:D11">
    <x:cfRule type="expression" dxfId="4" priority="1">
      <x:formula>D5="OK"</x:formula>
    </x:cfRule>
    <x:cfRule type="expression" dxfId="5" priority="2">
      <x:formula>D5&lt;&gt;"OK"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b78f77d6fe347b8"/>
  </x:tableParts>
</x:worksheet>
</file>