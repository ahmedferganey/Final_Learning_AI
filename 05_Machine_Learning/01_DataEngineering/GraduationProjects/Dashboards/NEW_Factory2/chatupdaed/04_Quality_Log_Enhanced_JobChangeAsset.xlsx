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042e71879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656d8e3a819478c"/>
    <x:sheet xmlns:r="http://schemas.openxmlformats.org/officeDocument/2006/relationships" name="SamplingDefectLog" sheetId="2" r:id="Rfacef43d163140e5"/>
    <x:sheet xmlns:r="http://schemas.openxmlformats.org/officeDocument/2006/relationships" name="Rework" sheetId="3" r:id="Rd679e9d2d1f1432e"/>
    <x:sheet xmlns:r="http://schemas.openxmlformats.org/officeDocument/2006/relationships" name="ProductionReference" sheetId="4" r:id="R872dcde4722a4c22"/>
    <x:sheet xmlns:r="http://schemas.openxmlformats.org/officeDocument/2006/relationships" name="ValidationLists" sheetId="5" r:id="R1845f6fddccd4cae"/>
    <x:sheet xmlns:r="http://schemas.openxmlformats.org/officeDocument/2006/relationships" name="DataChecks" sheetId="6" r:id="Rbf025b34eaa4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03438"/>
      </x:patternFill>
    </x:fill>
    <x:fill>
      <x:patternFill patternType="solid">
        <x:fgColor rgb="FF27345F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3a5543d404e32" /><Relationship Type="http://schemas.openxmlformats.org/officeDocument/2006/relationships/theme" Target="/xl/theme/theme1.xml" Id="R465c752a57a84c58" /><Relationship Type="http://schemas.openxmlformats.org/officeDocument/2006/relationships/sharedStrings" Target="/xl/sharedStrings.xml" Id="R053e6fc72b054192" /><Relationship Type="http://schemas.openxmlformats.org/officeDocument/2006/relationships/worksheet" Target="/xl/worksheets/sheet1.xml" Id="Rc656d8e3a819478c" /><Relationship Type="http://schemas.openxmlformats.org/officeDocument/2006/relationships/worksheet" Target="/xl/worksheets/sheet2.xml" Id="Rfacef43d163140e5" /><Relationship Type="http://schemas.openxmlformats.org/officeDocument/2006/relationships/worksheet" Target="/xl/worksheets/sheet3.xml" Id="Rd679e9d2d1f1432e" /><Relationship Type="http://schemas.openxmlformats.org/officeDocument/2006/relationships/worksheet" Target="/xl/worksheets/sheet4.xml" Id="R872dcde4722a4c22" /><Relationship Type="http://schemas.openxmlformats.org/officeDocument/2006/relationships/worksheet" Target="/xl/worksheets/sheet5.xml" Id="R1845f6fddccd4cae" /><Relationship Type="http://schemas.openxmlformats.org/officeDocument/2006/relationships/worksheet" Target="/xl/worksheets/sheet6.xml" Id="Rbf025b34eaa44340" /></Relationships>
</file>

<file path=xl/tables/table1.xml><?xml version="1.0" encoding="utf-8"?>
<x:table xmlns:x="http://schemas.openxmlformats.org/spreadsheetml/2006/main" id="1" name="QualityProductionReferenceTable" displayName="QualityProductionReferenceTable" ref="A4:G74" headerRowCount="1" totalsRowCount="0" totalsRowShown="0">
  <x:tableColumns count="7">
    <x:tableColumn id="1" name="ProductionEventID"/>
    <x:tableColumn id="2" name="FactoryCode"/>
    <x:tableColumn id="3" name="EventDate"/>
    <x:tableColumn id="4" name="ShiftCode"/>
    <x:tableColumn id="5" name="LineNumber"/>
    <x:tableColumn id="6" name="OrderNumber"/>
    <x:tableColumn id="7" name="TotalHo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DataChecksTable" displayName="QualityDataChecksTable" ref="A4:D14" headerRowCount="1" totalsRowCount="0" totalsRowShown="0">
  <x:tableColumns count="4">
    <x:tableColumn id="1" name="Check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fced9ea2a6b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d95e0dd390ae4835" /></Relationships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3" t="str">
        <x:v>QUALITY LOG — Instructions</x:v>
      </x:c>
    </x:row>
    <x:row r="2">
      <x:c r="A2" s="13"/>
    </x:row>
    <x:row r="3">
      <x:c r="A3" s="13" t="str">
        <x:v>Owner: Quality team</x:v>
      </x:c>
    </x:row>
    <x:row r="4">
      <x:c r="A4" s="13"/>
    </x:row>
    <x:row r="5">
      <x:c r="A5" s="13" t="str">
        <x:v>Sheets: SamplingDefectLog (hourly) + Rework</x:v>
      </x:c>
    </x:row>
    <x:row r="6">
      <x:c r="A6" s="13"/>
    </x:row>
    <x:row r="7">
      <x:c r="A7" s="13" t="str">
        <x:v>Defect Rate % = Quantity / TotalSamples (calculated downstream, not in Excel)</x:v>
      </x:c>
    </x:row>
    <x:row r="8">
      <x:c r="A8" s="13"/>
    </x:row>
    <x:row r="9">
      <x:c r="A9" s="13" t="str">
        <x:v>Save as 04_Quality_Log_YYYYMMDD.xlsx into the OneDrive Daily folder</x:v>
      </x:c>
    </x:row>
    <x:row r="10">
      <x:c r="A10" s="13"/>
    </x:row>
    <x:row r="11">
      <x:c r="A11" s="13" t="str">
        <x:v>Dataset note: one-week subset (2025-10-20 to 2025-10-26); sample and rework business rules remain preserved.</x:v>
      </x:c>
    </x:row>
    <x:row r="12">
      <x:c r="A12" s="13"/>
    </x:row>
    <x:row r="13">
      <x:c r="A13" s="13" t="str">
        <x:v>ENHANCED QUALITY / EVENT LINKING</x:v>
      </x:c>
    </x:row>
    <x:row r="14">
      <x:c r="A14" s="13" t="str">
        <x:v>Original SamplingDefectLog A:I and Rework A:H columns are preserved for current ETL / Power BI compatibility.</x:v>
      </x:c>
    </x:row>
    <x:row r="15">
      <x:c r="A15" s="13" t="str">
        <x:v>ProductionEventID links quality/rework rows to the line-level production event.</x:v>
      </x:c>
    </x:row>
    <x:row r="16">
      <x:c r="A16" s="13" t="str">
        <x:v>SamplingEventKey identifies the physical sample event before defect-level detail.</x:v>
      </x:c>
    </x:row>
    <x:row r="17">
      <x:c r="A17" s="13" t="str">
        <x:v>SamplingEventMultiplicity warns if one sample event contains multiple defect rows; do not SUM TotalSamples across those rows without deduplication.</x:v>
      </x:c>
    </x:row>
    <x:row r="18">
      <x:c r="A18" s="13" t="str">
        <x:v>QuantityCheck enforces defect Quantity ≤ TotalSamples.</x:v>
      </x:c>
    </x:row>
    <x:row r="19">
      <x:c r="A19" s="13" t="str">
        <x:v>ReworkedUnits is formula-driven = PalletsCount × ArticlesPerPallet.</x:v>
      </x:c>
    </x:row>
    <x:row r="20">
      <x:c r="A20" s="13" t="str">
        <x:v>EventReworkUnitsTotal aggregates rework by ProductionEventID.</x:v>
      </x:c>
    </x:row>
    <x:row r="21">
      <x:c r="A21" s="13" t="str">
        <x:v>HoldCapacityCheck ensures event-level rework units do not exceed the production TotalHold reference.</x:v>
      </x:c>
    </x:row>
    <x:row r="22">
      <x:c r="A22" s="13" t="str">
        <x:v>Review DataChecks before load.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.130001068115234" hidden="0" customWidth="1"/>
    <x:col min="2" max="2" width="9.880000114440918" hidden="0" customWidth="1"/>
    <x:col min="3" max="3" width="8.380000114440918" hidden="0" customWidth="1"/>
    <x:col min="4" max="4" width="15.380000114440918" hidden="0" customWidth="1"/>
    <x:col min="5" max="5" width="10.630000114440918" hidden="0" customWidth="1"/>
    <x:col min="6" max="6" width="7.880000114440918" hidden="0" customWidth="1"/>
    <x:col min="7" max="7" width="10.630000114440918" hidden="0" customWidth="1"/>
    <x:col min="8" max="8" width="11.25" hidden="0" customWidth="1"/>
    <x:col min="9" max="9" width="7.25" hidden="0" customWidth="1"/>
    <x:col min="10" max="10" width="14.75" hidden="0" customWidth="1"/>
    <x:col min="11" max="11" width="29" hidden="0" customWidth="1"/>
    <x:col min="12" max="12" width="11.75" hidden="0" customWidth="1"/>
    <x:col min="13" max="13" width="16.5" hidden="0" customWidth="1"/>
    <x:col min="14" max="14" width="11.630000114440918" hidden="0" customWidth="1"/>
    <x:col min="15" max="15" width="20.75" hidden="0" customWidth="1"/>
    <x:col min="16" max="16" width="20.5" hidden="0" customWidth="1"/>
  </x:cols>
  <x:sheetData>
    <x:row r="1">
      <x:c r="A1" s="12" t="str">
        <x:v>SAMPLING DEFECT LOG (HOURLY)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</x:row>
    <x:row r="2">
      <x:c r="A2" s="13" t="str">
        <x:v>Maps to STG_SAMPLINGDEFECTLOG → FACT_DEFECTSAMPLING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3" t="str">
        <x:v>One row = Line + Date + Order + Hour + Defect. HourNumber = 0 to 23.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8" t="str">
        <x:v>FactoryCode</x:v>
      </x:c>
      <x:c r="B4" s="8" t="str">
        <x:v>LineNumber</x:v>
      </x:c>
      <x:c r="C4" s="8" t="str">
        <x:v>EventDate</x:v>
      </x:c>
      <x:c r="D4" s="8" t="str">
        <x:v>OrderNumber</x:v>
      </x:c>
      <x:c r="E4" s="8" t="str">
        <x:v>HourNumber</x:v>
      </x:c>
      <x:c r="F4" s="8" t="str">
        <x:v>ShiftCode</x:v>
      </x:c>
      <x:c r="G4" s="8" t="str">
        <x:v>TotalSamples</x:v>
      </x:c>
      <x:c r="H4" s="8" t="str">
        <x:v>DefectName</x:v>
      </x:c>
      <x:c r="I4" s="8" t="str">
        <x:v>Quantity</x:v>
      </x:c>
      <x:c r="J4" s="8" t="str">
        <x:v>ProductionEventID</x:v>
      </x:c>
      <x:c r="K4" s="8" t="str">
        <x:v>SamplingEventKey</x:v>
      </x:c>
      <x:c r="L4" s="8" t="str">
        <x:v>QuantityCheck</x:v>
      </x:c>
      <x:c r="M4" s="8" t="str">
        <x:v>ProductionLinkCheck</x:v>
      </x:c>
      <x:c r="N4" s="8" t="str">
        <x:v>ShiftLinkCheck</x:v>
      </x:c>
      <x:c r="O4" s="8" t="str">
        <x:v>NaturalKeyDuplicateCheck</x:v>
      </x:c>
      <x:c r="P4" s="8" t="str">
        <x:v>SamplingEventMultiplicity</x:v>
      </x:c>
    </x:row>
    <x:row r="5">
      <x:c r="A5" s="13" t="str">
        <x:v>KG01</x:v>
      </x:c>
      <x:c r="B5" s="13" t="n">
        <x:v>21</x:v>
      </x:c>
      <x:c r="C5" s="20" t="n">
        <x:v>45950</x:v>
      </x:c>
      <x:c r="D5" s="13" t="str">
        <x:v>ORD-2025-00019</x:v>
      </x:c>
      <x:c r="E5" s="13" t="n">
        <x:v>9</x:v>
      </x:c>
      <x:c r="F5" s="13" t="str">
        <x:v>AM</x:v>
      </x:c>
      <x:c r="G5" s="16" t="n">
        <x:v>50</x:v>
      </x:c>
      <x:c r="H5" s="16" t="str">
        <x:v>Choke Neck</x:v>
      </x:c>
      <x:c r="I5" s="16" t="n">
        <x:v>1</x:v>
      </x:c>
      <x:c r="J5" s="18" t="str">
        <x:v>PE000001</x:v>
      </x:c>
      <x:c r="K5" s="18" t="str">
        <x:f>A5&amp;"|"&amp;B5&amp;"|"&amp;C5&amp;"|"&amp;D5&amp;"|"&amp;E5</x:f>
        <x:v>KG01|21|45950|ORD-2025-00019|9</x:v>
      </x:c>
      <x:c r="L5" s="18" t="str">
        <x:f>IF(AND(G5&gt;=0,I5&gt;=0,I5&lt;=G5),"OK","CHECK")</x:f>
        <x:v>OK</x:v>
      </x:c>
      <x:c r="M5" s="18" t="str">
        <x:f>IF(COUNTIF(ProductionReference!$A$5:$A$74,J5)=1,"OK","LINK ERROR")</x:f>
        <x:v>OK</x:v>
      </x:c>
      <x:c r="N5" s="18" t="str">
        <x:f>IF(F5=INDEX(ProductionReference!$D$5:$D$74,MATCH(J5,ProductionReference!$A$5:$A$74,0)),"OK","SHIFT MISMATCH")</x:f>
        <x:v>OK</x:v>
      </x:c>
      <x:c r="O5" s="18" t="str">
        <x:f>IF(COUNTIFS($A$5:$A$149,A5,$B$5:$B$149,B5,$C$5:$C$149,C5,$D$5:$D$149,D5,$E$5:$E$149,E5,$H$5:$H$149,H5)=1,"OK","DUPLICATE")</x:f>
        <x:v>OK</x:v>
      </x:c>
      <x:c r="P5" s="18" t="n">
        <x:f>COUNTIF($K$5:$K$149,K5)</x:f>
        <x:v>1</x:v>
      </x:c>
    </x:row>
    <x:row r="6">
      <x:c r="A6" s="13" t="str">
        <x:v>KG01</x:v>
      </x:c>
      <x:c r="B6" s="13" t="n">
        <x:v>21</x:v>
      </x:c>
      <x:c r="C6" s="20" t="n">
        <x:v>45950</x:v>
      </x:c>
      <x:c r="D6" s="13" t="str">
        <x:v>ORD-2025-00019</x:v>
      </x:c>
      <x:c r="E6" s="13" t="n">
        <x:v>15</x:v>
      </x:c>
      <x:c r="F6" s="13" t="str">
        <x:v>AM</x:v>
      </x:c>
      <x:c r="G6" s="16" t="n">
        <x:v>50</x:v>
      </x:c>
      <x:c r="H6" s="16" t="str">
        <x:v>Overpress</x:v>
      </x:c>
      <x:c r="I6" s="16" t="n">
        <x:v>0</x:v>
      </x:c>
      <x:c r="J6" s="18" t="str">
        <x:v>PE000001</x:v>
      </x:c>
      <x:c r="K6" s="18" t="str">
        <x:f>A6&amp;"|"&amp;B6&amp;"|"&amp;C6&amp;"|"&amp;D6&amp;"|"&amp;E6</x:f>
        <x:v>KG01|21|45950|ORD-2025-00019|15</x:v>
      </x:c>
      <x:c r="L6" s="18" t="str">
        <x:f>IF(AND(G6&gt;=0,I6&gt;=0,I6&lt;=G6),"OK","CHECK")</x:f>
        <x:v>OK</x:v>
      </x:c>
      <x:c r="M6" s="18" t="str">
        <x:f>IF(COUNTIF(ProductionReference!$A$5:$A$74,J6)=1,"OK","LINK ERROR")</x:f>
        <x:v>OK</x:v>
      </x:c>
      <x:c r="N6" s="18" t="str">
        <x:f>IF(F6=INDEX(ProductionReference!$D$5:$D$74,MATCH(J6,ProductionReference!$A$5:$A$74,0)),"OK","SHIFT MISMATCH")</x:f>
        <x:v>OK</x:v>
      </x:c>
      <x:c r="O6" s="18" t="str">
        <x:f>IF(COUNTIFS($A$5:$A$149,A6,$B$5:$B$149,B6,$C$5:$C$149,C6,$D$5:$D$149,D6,$E$5:$E$149,E6,$H$5:$H$149,H6)=1,"OK","DUPLICATE")</x:f>
        <x:v>OK</x:v>
      </x:c>
      <x:c r="P6" s="18" t="n">
        <x:f>COUNTIF($K$5:$K$149,K6)</x:f>
        <x:v>1</x:v>
      </x:c>
    </x:row>
    <x:row r="7">
      <x:c r="A7" s="13" t="str">
        <x:v>KG01</x:v>
      </x:c>
      <x:c r="B7" s="13" t="n">
        <x:v>21</x:v>
      </x:c>
      <x:c r="C7" s="20" t="n">
        <x:v>45950</x:v>
      </x:c>
      <x:c r="D7" s="13" t="str">
        <x:v>ORD-2025-00019</x:v>
      </x:c>
      <x:c r="E7" s="13" t="n">
        <x:v>20</x:v>
      </x:c>
      <x:c r="F7" s="13" t="str">
        <x:v>PM</x:v>
      </x:c>
      <x:c r="G7" s="16" t="n">
        <x:v>100</x:v>
      </x:c>
      <x:c r="H7" s="16" t="str">
        <x:v>Choke Neck</x:v>
      </x:c>
      <x:c r="I7" s="16" t="n">
        <x:v>3</x:v>
      </x:c>
      <x:c r="J7" s="18" t="str">
        <x:v>PE000002</x:v>
      </x:c>
      <x:c r="K7" s="18" t="str">
        <x:f>A7&amp;"|"&amp;B7&amp;"|"&amp;C7&amp;"|"&amp;D7&amp;"|"&amp;E7</x:f>
        <x:v>KG01|21|45950|ORD-2025-00019|20</x:v>
      </x:c>
      <x:c r="L7" s="18" t="str">
        <x:f>IF(AND(G7&gt;=0,I7&gt;=0,I7&lt;=G7),"OK","CHECK")</x:f>
        <x:v>OK</x:v>
      </x:c>
      <x:c r="M7" s="18" t="str">
        <x:f>IF(COUNTIF(ProductionReference!$A$5:$A$74,J7)=1,"OK","LINK ERROR")</x:f>
        <x:v>OK</x:v>
      </x:c>
      <x:c r="N7" s="18" t="str">
        <x:f>IF(F7=INDEX(ProductionReference!$D$5:$D$74,MATCH(J7,ProductionReference!$A$5:$A$74,0)),"OK","SHIFT MISMATCH")</x:f>
        <x:v>OK</x:v>
      </x:c>
      <x:c r="O7" s="18" t="str">
        <x:f>IF(COUNTIFS($A$5:$A$149,A7,$B$5:$B$149,B7,$C$5:$C$149,C7,$D$5:$D$149,D7,$E$5:$E$149,E7,$H$5:$H$149,H7)=1,"OK","DUPLICATE")</x:f>
        <x:v>OK</x:v>
      </x:c>
      <x:c r="P7" s="18" t="n">
        <x:f>COUNTIF($K$5:$K$149,K7)</x:f>
        <x:v>1</x:v>
      </x:c>
    </x:row>
    <x:row r="8">
      <x:c r="A8" s="13" t="str">
        <x:v>KG01</x:v>
      </x:c>
      <x:c r="B8" s="13" t="n">
        <x:v>21</x:v>
      </x:c>
      <x:c r="C8" s="20" t="n">
        <x:v>45950</x:v>
      </x:c>
      <x:c r="D8" s="13" t="str">
        <x:v>ORD-2025-00019</x:v>
      </x:c>
      <x:c r="E8" s="13" t="n">
        <x:v>23</x:v>
      </x:c>
      <x:c r="F8" s="13" t="str">
        <x:v>PM</x:v>
      </x:c>
      <x:c r="G8" s="16" t="n">
        <x:v>150</x:v>
      </x:c>
      <x:c r="H8" s="16" t="str">
        <x:v>Overpress</x:v>
      </x:c>
      <x:c r="I8" s="16" t="n">
        <x:v>5</x:v>
      </x:c>
      <x:c r="J8" s="18" t="str">
        <x:v>PE000002</x:v>
      </x:c>
      <x:c r="K8" s="18" t="str">
        <x:f>A8&amp;"|"&amp;B8&amp;"|"&amp;C8&amp;"|"&amp;D8&amp;"|"&amp;E8</x:f>
        <x:v>KG01|21|45950|ORD-2025-00019|23</x:v>
      </x:c>
      <x:c r="L8" s="18" t="str">
        <x:f>IF(AND(G8&gt;=0,I8&gt;=0,I8&lt;=G8),"OK","CHECK")</x:f>
        <x:v>OK</x:v>
      </x:c>
      <x:c r="M8" s="18" t="str">
        <x:f>IF(COUNTIF(ProductionReference!$A$5:$A$74,J8)=1,"OK","LINK ERROR")</x:f>
        <x:v>OK</x:v>
      </x:c>
      <x:c r="N8" s="18" t="str">
        <x:f>IF(F8=INDEX(ProductionReference!$D$5:$D$74,MATCH(J8,ProductionReference!$A$5:$A$74,0)),"OK","SHIFT MISMATCH")</x:f>
        <x:v>OK</x:v>
      </x:c>
      <x:c r="O8" s="18" t="str">
        <x:f>IF(COUNTIFS($A$5:$A$149,A8,$B$5:$B$149,B8,$C$5:$C$149,C8,$D$5:$D$149,D8,$E$5:$E$149,E8,$H$5:$H$149,H8)=1,"OK","DUPLICATE")</x:f>
        <x:v>OK</x:v>
      </x:c>
      <x:c r="P8" s="18" t="n">
        <x:f>COUNTIF($K$5:$K$149,K8)</x:f>
        <x:v>1</x:v>
      </x:c>
    </x:row>
    <x:row r="9">
      <x:c r="A9" s="13" t="str">
        <x:v>KG01</x:v>
      </x:c>
      <x:c r="B9" s="13" t="n">
        <x:v>21</x:v>
      </x:c>
      <x:c r="C9" s="20" t="n">
        <x:v>45951</x:v>
      </x:c>
      <x:c r="D9" s="13" t="str">
        <x:v>ORD-2025-00020</x:v>
      </x:c>
      <x:c r="E9" s="13" t="n">
        <x:v>7</x:v>
      </x:c>
      <x:c r="F9" s="13" t="str">
        <x:v>AM</x:v>
      </x:c>
      <x:c r="G9" s="16" t="n">
        <x:v>50</x:v>
      </x:c>
      <x:c r="H9" s="16" t="str">
        <x:v>Distortion</x:v>
      </x:c>
      <x:c r="I9" s="16" t="n">
        <x:v>0</x:v>
      </x:c>
      <x:c r="J9" s="18" t="str">
        <x:v>PE000003</x:v>
      </x:c>
      <x:c r="K9" s="18" t="str">
        <x:f>A9&amp;"|"&amp;B9&amp;"|"&amp;C9&amp;"|"&amp;D9&amp;"|"&amp;E9</x:f>
        <x:v>KG01|21|45951|ORD-2025-00020|7</x:v>
      </x:c>
      <x:c r="L9" s="18" t="str">
        <x:f>IF(AND(G9&gt;=0,I9&gt;=0,I9&lt;=G9),"OK","CHECK")</x:f>
        <x:v>OK</x:v>
      </x:c>
      <x:c r="M9" s="18" t="str">
        <x:f>IF(COUNTIF(ProductionReference!$A$5:$A$74,J9)=1,"OK","LINK ERROR")</x:f>
        <x:v>OK</x:v>
      </x:c>
      <x:c r="N9" s="18" t="str">
        <x:f>IF(F9=INDEX(ProductionReference!$D$5:$D$74,MATCH(J9,ProductionReference!$A$5:$A$74,0)),"OK","SHIFT MISMATCH")</x:f>
        <x:v>OK</x:v>
      </x:c>
      <x:c r="O9" s="18" t="str">
        <x:f>IF(COUNTIFS($A$5:$A$149,A9,$B$5:$B$149,B9,$C$5:$C$149,C9,$D$5:$D$149,D9,$E$5:$E$149,E9,$H$5:$H$149,H9)=1,"OK","DUPLICATE")</x:f>
        <x:v>OK</x:v>
      </x:c>
      <x:c r="P9" s="18" t="n">
        <x:f>COUNTIF($K$5:$K$149,K9)</x:f>
        <x:v>1</x:v>
      </x:c>
    </x:row>
    <x:row r="10">
      <x:c r="A10" s="13" t="str">
        <x:v>KG01</x:v>
      </x:c>
      <x:c r="B10" s="13" t="n">
        <x:v>21</x:v>
      </x:c>
      <x:c r="C10" s="20" t="n">
        <x:v>45951</x:v>
      </x:c>
      <x:c r="D10" s="13" t="str">
        <x:v>ORD-2025-00020</x:v>
      </x:c>
      <x:c r="E10" s="13" t="n">
        <x:v>12</x:v>
      </x:c>
      <x:c r="F10" s="13" t="str">
        <x:v>AM</x:v>
      </x:c>
      <x:c r="G10" s="16" t="n">
        <x:v>200</x:v>
      </x:c>
      <x:c r="H10" s="16" t="str">
        <x:v>Thin Wall</x:v>
      </x:c>
      <x:c r="I10" s="16" t="n">
        <x:v>7</x:v>
      </x:c>
      <x:c r="J10" s="18" t="str">
        <x:v>PE000003</x:v>
      </x:c>
      <x:c r="K10" s="18" t="str">
        <x:f>A10&amp;"|"&amp;B10&amp;"|"&amp;C10&amp;"|"&amp;D10&amp;"|"&amp;E10</x:f>
        <x:v>KG01|21|45951|ORD-2025-00020|12</x:v>
      </x:c>
      <x:c r="L10" s="18" t="str">
        <x:f>IF(AND(G10&gt;=0,I10&gt;=0,I10&lt;=G10),"OK","CHECK")</x:f>
        <x:v>OK</x:v>
      </x:c>
      <x:c r="M10" s="18" t="str">
        <x:f>IF(COUNTIF(ProductionReference!$A$5:$A$74,J10)=1,"OK","LINK ERROR")</x:f>
        <x:v>OK</x:v>
      </x:c>
      <x:c r="N10" s="18" t="str">
        <x:f>IF(F10=INDEX(ProductionReference!$D$5:$D$74,MATCH(J10,ProductionReference!$A$5:$A$74,0)),"OK","SHIFT MISMATCH")</x:f>
        <x:v>OK</x:v>
      </x:c>
      <x:c r="O10" s="18" t="str">
        <x:f>IF(COUNTIFS($A$5:$A$149,A10,$B$5:$B$149,B10,$C$5:$C$149,C10,$D$5:$D$149,D10,$E$5:$E$149,E10,$H$5:$H$149,H10)=1,"OK","DUPLICATE")</x:f>
        <x:v>OK</x:v>
      </x:c>
      <x:c r="P10" s="18" t="n">
        <x:f>COUNTIF($K$5:$K$149,K10)</x:f>
        <x:v>1</x:v>
      </x:c>
    </x:row>
    <x:row r="11">
      <x:c r="A11" s="13" t="str">
        <x:v>KG01</x:v>
      </x:c>
      <x:c r="B11" s="13" t="n">
        <x:v>21</x:v>
      </x:c>
      <x:c r="C11" s="20" t="n">
        <x:v>45951</x:v>
      </x:c>
      <x:c r="D11" s="13" t="str">
        <x:v>ORD-2025-00020</x:v>
      </x:c>
      <x:c r="E11" s="13" t="n">
        <x:v>16</x:v>
      </x:c>
      <x:c r="F11" s="13" t="str">
        <x:v>AM</x:v>
      </x:c>
      <x:c r="G11" s="16" t="n">
        <x:v>100</x:v>
      </x:c>
      <x:c r="H11" s="16" t="str">
        <x:v>Stone</x:v>
      </x:c>
      <x:c r="I11" s="16" t="n">
        <x:v>10</x:v>
      </x:c>
      <x:c r="J11" s="18" t="str">
        <x:v>PE000003</x:v>
      </x:c>
      <x:c r="K11" s="18" t="str">
        <x:f>A11&amp;"|"&amp;B11&amp;"|"&amp;C11&amp;"|"&amp;D11&amp;"|"&amp;E11</x:f>
        <x:v>KG01|21|45951|ORD-2025-00020|16</x:v>
      </x:c>
      <x:c r="L11" s="18" t="str">
        <x:f>IF(AND(G11&gt;=0,I11&gt;=0,I11&lt;=G11),"OK","CHECK")</x:f>
        <x:v>OK</x:v>
      </x:c>
      <x:c r="M11" s="18" t="str">
        <x:f>IF(COUNTIF(ProductionReference!$A$5:$A$74,J11)=1,"OK","LINK ERROR")</x:f>
        <x:v>OK</x:v>
      </x:c>
      <x:c r="N11" s="18" t="str">
        <x:f>IF(F11=INDEX(ProductionReference!$D$5:$D$74,MATCH(J11,ProductionReference!$A$5:$A$74,0)),"OK","SHIFT MISMATCH")</x:f>
        <x:v>OK</x:v>
      </x:c>
      <x:c r="O11" s="18" t="str">
        <x:f>IF(COUNTIFS($A$5:$A$149,A11,$B$5:$B$149,B11,$C$5:$C$149,C11,$D$5:$D$149,D11,$E$5:$E$149,E11,$H$5:$H$149,H11)=1,"OK","DUPLICATE")</x:f>
        <x:v>OK</x:v>
      </x:c>
      <x:c r="P11" s="18" t="n">
        <x:f>COUNTIF($K$5:$K$149,K11)</x:f>
        <x:v>1</x:v>
      </x:c>
    </x:row>
    <x:row r="12">
      <x:c r="A12" s="13" t="str">
        <x:v>KG01</x:v>
      </x:c>
      <x:c r="B12" s="13" t="n">
        <x:v>21</x:v>
      </x:c>
      <x:c r="C12" s="20" t="n">
        <x:v>45951</x:v>
      </x:c>
      <x:c r="D12" s="13" t="str">
        <x:v>ORD-2025-00020</x:v>
      </x:c>
      <x:c r="E12" s="13" t="n">
        <x:v>20</x:v>
      </x:c>
      <x:c r="F12" s="13" t="str">
        <x:v>PM</x:v>
      </x:c>
      <x:c r="G12" s="16" t="n">
        <x:v>200</x:v>
      </x:c>
      <x:c r="H12" s="16" t="str">
        <x:v>Blister</x:v>
      </x:c>
      <x:c r="I12" s="16" t="n">
        <x:v>6</x:v>
      </x:c>
      <x:c r="J12" s="18" t="str">
        <x:v>PE000004</x:v>
      </x:c>
      <x:c r="K12" s="18" t="str">
        <x:f>A12&amp;"|"&amp;B12&amp;"|"&amp;C12&amp;"|"&amp;D12&amp;"|"&amp;E12</x:f>
        <x:v>KG01|21|45951|ORD-2025-00020|20</x:v>
      </x:c>
      <x:c r="L12" s="18" t="str">
        <x:f>IF(AND(G12&gt;=0,I12&gt;=0,I12&lt;=G12),"OK","CHECK")</x:f>
        <x:v>OK</x:v>
      </x:c>
      <x:c r="M12" s="18" t="str">
        <x:f>IF(COUNTIF(ProductionReference!$A$5:$A$74,J12)=1,"OK","LINK ERROR")</x:f>
        <x:v>OK</x:v>
      </x:c>
      <x:c r="N12" s="18" t="str">
        <x:f>IF(F12=INDEX(ProductionReference!$D$5:$D$74,MATCH(J12,ProductionReference!$A$5:$A$74,0)),"OK","SHIFT MISMATCH")</x:f>
        <x:v>OK</x:v>
      </x:c>
      <x:c r="O12" s="18" t="str">
        <x:f>IF(COUNTIFS($A$5:$A$149,A12,$B$5:$B$149,B12,$C$5:$C$149,C12,$D$5:$D$149,D12,$E$5:$E$149,E12,$H$5:$H$149,H12)=1,"OK","DUPLICATE")</x:f>
        <x:v>OK</x:v>
      </x:c>
      <x:c r="P12" s="18" t="n">
        <x:f>COUNTIF($K$5:$K$149,K12)</x:f>
        <x:v>1</x:v>
      </x:c>
    </x:row>
    <x:row r="13">
      <x:c r="A13" s="13" t="str">
        <x:v>KG01</x:v>
      </x:c>
      <x:c r="B13" s="13" t="n">
        <x:v>21</x:v>
      </x:c>
      <x:c r="C13" s="20" t="n">
        <x:v>45951</x:v>
      </x:c>
      <x:c r="D13" s="13" t="str">
        <x:v>ORD-2025-00020</x:v>
      </x:c>
      <x:c r="E13" s="13" t="n">
        <x:v>23</x:v>
      </x:c>
      <x:c r="F13" s="13" t="str">
        <x:v>PM</x:v>
      </x:c>
      <x:c r="G13" s="16" t="n">
        <x:v>200</x:v>
      </x:c>
      <x:c r="H13" s="16" t="str">
        <x:v>Overpress</x:v>
      </x:c>
      <x:c r="I13" s="16" t="n">
        <x:v>0</x:v>
      </x:c>
      <x:c r="J13" s="18" t="str">
        <x:v>PE000004</x:v>
      </x:c>
      <x:c r="K13" s="18" t="str">
        <x:f>A13&amp;"|"&amp;B13&amp;"|"&amp;C13&amp;"|"&amp;D13&amp;"|"&amp;E13</x:f>
        <x:v>KG01|21|45951|ORD-2025-00020|23</x:v>
      </x:c>
      <x:c r="L13" s="18" t="str">
        <x:f>IF(AND(G13&gt;=0,I13&gt;=0,I13&lt;=G13),"OK","CHECK")</x:f>
        <x:v>OK</x:v>
      </x:c>
      <x:c r="M13" s="18" t="str">
        <x:f>IF(COUNTIF(ProductionReference!$A$5:$A$74,J13)=1,"OK","LINK ERROR")</x:f>
        <x:v>OK</x:v>
      </x:c>
      <x:c r="N13" s="18" t="str">
        <x:f>IF(F13=INDEX(ProductionReference!$D$5:$D$74,MATCH(J13,ProductionReference!$A$5:$A$74,0)),"OK","SHIFT MISMATCH")</x:f>
        <x:v>OK</x:v>
      </x:c>
      <x:c r="O13" s="18" t="str">
        <x:f>IF(COUNTIFS($A$5:$A$149,A13,$B$5:$B$149,B13,$C$5:$C$149,C13,$D$5:$D$149,D13,$E$5:$E$149,E13,$H$5:$H$149,H13)=1,"OK","DUPLICATE")</x:f>
        <x:v>OK</x:v>
      </x:c>
      <x:c r="P13" s="18" t="n">
        <x:f>COUNTIF($K$5:$K$149,K13)</x:f>
        <x:v>1</x:v>
      </x:c>
    </x:row>
    <x:row r="14">
      <x:c r="A14" s="13" t="str">
        <x:v>KG01</x:v>
      </x:c>
      <x:c r="B14" s="13" t="n">
        <x:v>21</x:v>
      </x:c>
      <x:c r="C14" s="20" t="n">
        <x:v>45952</x:v>
      </x:c>
      <x:c r="D14" s="13" t="str">
        <x:v>ORD-2025-00020</x:v>
      </x:c>
      <x:c r="E14" s="13" t="n">
        <x:v>9</x:v>
      </x:c>
      <x:c r="F14" s="13" t="str">
        <x:v>AM</x:v>
      </x:c>
      <x:c r="G14" s="16" t="n">
        <x:v>200</x:v>
      </x:c>
      <x:c r="H14" s="16" t="str">
        <x:v>Distortion</x:v>
      </x:c>
      <x:c r="I14" s="16" t="n">
        <x:v>4</x:v>
      </x:c>
      <x:c r="J14" s="18" t="str">
        <x:v>PE000005</x:v>
      </x:c>
      <x:c r="K14" s="18" t="str">
        <x:f>A14&amp;"|"&amp;B14&amp;"|"&amp;C14&amp;"|"&amp;D14&amp;"|"&amp;E14</x:f>
        <x:v>KG01|21|45952|ORD-2025-00020|9</x:v>
      </x:c>
      <x:c r="L14" s="18" t="str">
        <x:f>IF(AND(G14&gt;=0,I14&gt;=0,I14&lt;=G14),"OK","CHECK")</x:f>
        <x:v>OK</x:v>
      </x:c>
      <x:c r="M14" s="18" t="str">
        <x:f>IF(COUNTIF(ProductionReference!$A$5:$A$74,J14)=1,"OK","LINK ERROR")</x:f>
        <x:v>OK</x:v>
      </x:c>
      <x:c r="N14" s="18" t="str">
        <x:f>IF(F14=INDEX(ProductionReference!$D$5:$D$74,MATCH(J14,ProductionReference!$A$5:$A$74,0)),"OK","SHIFT MISMATCH")</x:f>
        <x:v>OK</x:v>
      </x:c>
      <x:c r="O14" s="18" t="str">
        <x:f>IF(COUNTIFS($A$5:$A$149,A14,$B$5:$B$149,B14,$C$5:$C$149,C14,$D$5:$D$149,D14,$E$5:$E$149,E14,$H$5:$H$149,H14)=1,"OK","DUPLICATE")</x:f>
        <x:v>OK</x:v>
      </x:c>
      <x:c r="P14" s="18" t="n">
        <x:f>COUNTIF($K$5:$K$149,K14)</x:f>
        <x:v>1</x:v>
      </x:c>
    </x:row>
    <x:row r="15">
      <x:c r="A15" s="13" t="str">
        <x:v>KG01</x:v>
      </x:c>
      <x:c r="B15" s="13" t="n">
        <x:v>21</x:v>
      </x:c>
      <x:c r="C15" s="20" t="n">
        <x:v>45952</x:v>
      </x:c>
      <x:c r="D15" s="13" t="str">
        <x:v>ORD-2025-00020</x:v>
      </x:c>
      <x:c r="E15" s="13" t="n">
        <x:v>15</x:v>
      </x:c>
      <x:c r="F15" s="13" t="str">
        <x:v>AM</x:v>
      </x:c>
      <x:c r="G15" s="16" t="n">
        <x:v>100</x:v>
      </x:c>
      <x:c r="H15" s="16" t="str">
        <x:v>Overpress</x:v>
      </x:c>
      <x:c r="I15" s="16" t="n">
        <x:v>2</x:v>
      </x:c>
      <x:c r="J15" s="18" t="str">
        <x:v>PE000005</x:v>
      </x:c>
      <x:c r="K15" s="18" t="str">
        <x:f>A15&amp;"|"&amp;B15&amp;"|"&amp;C15&amp;"|"&amp;D15&amp;"|"&amp;E15</x:f>
        <x:v>KG01|21|45952|ORD-2025-00020|15</x:v>
      </x:c>
      <x:c r="L15" s="18" t="str">
        <x:f>IF(AND(G15&gt;=0,I15&gt;=0,I15&lt;=G15),"OK","CHECK")</x:f>
        <x:v>OK</x:v>
      </x:c>
      <x:c r="M15" s="18" t="str">
        <x:f>IF(COUNTIF(ProductionReference!$A$5:$A$74,J15)=1,"OK","LINK ERROR")</x:f>
        <x:v>OK</x:v>
      </x:c>
      <x:c r="N15" s="18" t="str">
        <x:f>IF(F15=INDEX(ProductionReference!$D$5:$D$74,MATCH(J15,ProductionReference!$A$5:$A$74,0)),"OK","SHIFT MISMATCH")</x:f>
        <x:v>OK</x:v>
      </x:c>
      <x:c r="O15" s="18" t="str">
        <x:f>IF(COUNTIFS($A$5:$A$149,A15,$B$5:$B$149,B15,$C$5:$C$149,C15,$D$5:$D$149,D15,$E$5:$E$149,E15,$H$5:$H$149,H15)=1,"OK","DUPLICATE")</x:f>
        <x:v>OK</x:v>
      </x:c>
      <x:c r="P15" s="18" t="n">
        <x:f>COUNTIF($K$5:$K$149,K15)</x:f>
        <x:v>1</x:v>
      </x:c>
    </x:row>
    <x:row r="16">
      <x:c r="A16" s="13" t="str">
        <x:v>KG01</x:v>
      </x:c>
      <x:c r="B16" s="13" t="n">
        <x:v>21</x:v>
      </x:c>
      <x:c r="C16" s="20" t="n">
        <x:v>45952</x:v>
      </x:c>
      <x:c r="D16" s="13" t="str">
        <x:v>ORD-2025-00020</x:v>
      </x:c>
      <x:c r="E16" s="13" t="n">
        <x:v>20</x:v>
      </x:c>
      <x:c r="F16" s="13" t="str">
        <x:v>PM</x:v>
      </x:c>
      <x:c r="G16" s="16" t="n">
        <x:v>100</x:v>
      </x:c>
      <x:c r="H16" s="16" t="str">
        <x:v>Bird Swing</x:v>
      </x:c>
      <x:c r="I16" s="16" t="n">
        <x:v>2</x:v>
      </x:c>
      <x:c r="J16" s="18" t="str">
        <x:v>PE000006</x:v>
      </x:c>
      <x:c r="K16" s="18" t="str">
        <x:f>A16&amp;"|"&amp;B16&amp;"|"&amp;C16&amp;"|"&amp;D16&amp;"|"&amp;E16</x:f>
        <x:v>KG01|21|45952|ORD-2025-00020|20</x:v>
      </x:c>
      <x:c r="L16" s="18" t="str">
        <x:f>IF(AND(G16&gt;=0,I16&gt;=0,I16&lt;=G16),"OK","CHECK")</x:f>
        <x:v>OK</x:v>
      </x:c>
      <x:c r="M16" s="18" t="str">
        <x:f>IF(COUNTIF(ProductionReference!$A$5:$A$74,J16)=1,"OK","LINK ERROR")</x:f>
        <x:v>OK</x:v>
      </x:c>
      <x:c r="N16" s="18" t="str">
        <x:f>IF(F16=INDEX(ProductionReference!$D$5:$D$74,MATCH(J16,ProductionReference!$A$5:$A$74,0)),"OK","SHIFT MISMATCH")</x:f>
        <x:v>OK</x:v>
      </x:c>
      <x:c r="O16" s="18" t="str">
        <x:f>IF(COUNTIFS($A$5:$A$149,A16,$B$5:$B$149,B16,$C$5:$C$149,C16,$D$5:$D$149,D16,$E$5:$E$149,E16,$H$5:$H$149,H16)=1,"OK","DUPLICATE")</x:f>
        <x:v>OK</x:v>
      </x:c>
      <x:c r="P16" s="18" t="n">
        <x:f>COUNTIF($K$5:$K$149,K16)</x:f>
        <x:v>1</x:v>
      </x:c>
    </x:row>
    <x:row r="17">
      <x:c r="A17" s="13" t="str">
        <x:v>KG01</x:v>
      </x:c>
      <x:c r="B17" s="13" t="n">
        <x:v>21</x:v>
      </x:c>
      <x:c r="C17" s="20" t="n">
        <x:v>45952</x:v>
      </x:c>
      <x:c r="D17" s="13" t="str">
        <x:v>ORD-2025-00020</x:v>
      </x:c>
      <x:c r="E17" s="13" t="n">
        <x:v>23</x:v>
      </x:c>
      <x:c r="F17" s="13" t="str">
        <x:v>PM</x:v>
      </x:c>
      <x:c r="G17" s="16" t="n">
        <x:v>200</x:v>
      </x:c>
      <x:c r="H17" s="16" t="str">
        <x:v>Distortion</x:v>
      </x:c>
      <x:c r="I17" s="16" t="n">
        <x:v>3</x:v>
      </x:c>
      <x:c r="J17" s="18" t="str">
        <x:v>PE000006</x:v>
      </x:c>
      <x:c r="K17" s="18" t="str">
        <x:f>A17&amp;"|"&amp;B17&amp;"|"&amp;C17&amp;"|"&amp;D17&amp;"|"&amp;E17</x:f>
        <x:v>KG01|21|45952|ORD-2025-00020|23</x:v>
      </x:c>
      <x:c r="L17" s="18" t="str">
        <x:f>IF(AND(G17&gt;=0,I17&gt;=0,I17&lt;=G17),"OK","CHECK")</x:f>
        <x:v>OK</x:v>
      </x:c>
      <x:c r="M17" s="18" t="str">
        <x:f>IF(COUNTIF(ProductionReference!$A$5:$A$74,J17)=1,"OK","LINK ERROR")</x:f>
        <x:v>OK</x:v>
      </x:c>
      <x:c r="N17" s="18" t="str">
        <x:f>IF(F17=INDEX(ProductionReference!$D$5:$D$74,MATCH(J17,ProductionReference!$A$5:$A$74,0)),"OK","SHIFT MISMATCH")</x:f>
        <x:v>OK</x:v>
      </x:c>
      <x:c r="O17" s="18" t="str">
        <x:f>IF(COUNTIFS($A$5:$A$149,A17,$B$5:$B$149,B17,$C$5:$C$149,C17,$D$5:$D$149,D17,$E$5:$E$149,E17,$H$5:$H$149,H17)=1,"OK","DUPLICATE")</x:f>
        <x:v>OK</x:v>
      </x:c>
      <x:c r="P17" s="18" t="n">
        <x:f>COUNTIF($K$5:$K$149,K17)</x:f>
        <x:v>1</x:v>
      </x:c>
    </x:row>
    <x:row r="18">
      <x:c r="A18" s="13" t="str">
        <x:v>KG01</x:v>
      </x:c>
      <x:c r="B18" s="13" t="n">
        <x:v>21</x:v>
      </x:c>
      <x:c r="C18" s="20" t="n">
        <x:v>45953</x:v>
      </x:c>
      <x:c r="D18" s="13" t="str">
        <x:v>ORD-2025-00020</x:v>
      </x:c>
      <x:c r="E18" s="13" t="n">
        <x:v>9</x:v>
      </x:c>
      <x:c r="F18" s="13" t="str">
        <x:v>AM</x:v>
      </x:c>
      <x:c r="G18" s="16" t="n">
        <x:v>50</x:v>
      </x:c>
      <x:c r="H18" s="16" t="str">
        <x:v>Crack</x:v>
      </x:c>
      <x:c r="I18" s="16" t="n">
        <x:v>0</x:v>
      </x:c>
      <x:c r="J18" s="18" t="str">
        <x:v>PE000007</x:v>
      </x:c>
      <x:c r="K18" s="18" t="str">
        <x:f>A18&amp;"|"&amp;B18&amp;"|"&amp;C18&amp;"|"&amp;D18&amp;"|"&amp;E18</x:f>
        <x:v>KG01|21|45953|ORD-2025-00020|9</x:v>
      </x:c>
      <x:c r="L18" s="18" t="str">
        <x:f>IF(AND(G18&gt;=0,I18&gt;=0,I18&lt;=G18),"OK","CHECK")</x:f>
        <x:v>OK</x:v>
      </x:c>
      <x:c r="M18" s="18" t="str">
        <x:f>IF(COUNTIF(ProductionReference!$A$5:$A$74,J18)=1,"OK","LINK ERROR")</x:f>
        <x:v>OK</x:v>
      </x:c>
      <x:c r="N18" s="18" t="str">
        <x:f>IF(F18=INDEX(ProductionReference!$D$5:$D$74,MATCH(J18,ProductionReference!$A$5:$A$74,0)),"OK","SHIFT MISMATCH")</x:f>
        <x:v>OK</x:v>
      </x:c>
      <x:c r="O18" s="18" t="str">
        <x:f>IF(COUNTIFS($A$5:$A$149,A18,$B$5:$B$149,B18,$C$5:$C$149,C18,$D$5:$D$149,D18,$E$5:$E$149,E18,$H$5:$H$149,H18)=1,"OK","DUPLICATE")</x:f>
        <x:v>OK</x:v>
      </x:c>
      <x:c r="P18" s="18" t="n">
        <x:f>COUNTIF($K$5:$K$149,K18)</x:f>
        <x:v>1</x:v>
      </x:c>
    </x:row>
    <x:row r="19">
      <x:c r="A19" s="13" t="str">
        <x:v>KG01</x:v>
      </x:c>
      <x:c r="B19" s="13" t="n">
        <x:v>21</x:v>
      </x:c>
      <x:c r="C19" s="20" t="n">
        <x:v>45953</x:v>
      </x:c>
      <x:c r="D19" s="13" t="str">
        <x:v>ORD-2025-00020</x:v>
      </x:c>
      <x:c r="E19" s="13" t="n">
        <x:v>15</x:v>
      </x:c>
      <x:c r="F19" s="13" t="str">
        <x:v>AM</x:v>
      </x:c>
      <x:c r="G19" s="16" t="n">
        <x:v>50</x:v>
      </x:c>
      <x:c r="H19" s="16" t="str">
        <x:v>Thin Wall</x:v>
      </x:c>
      <x:c r="I19" s="16" t="n">
        <x:v>2</x:v>
      </x:c>
      <x:c r="J19" s="18" t="str">
        <x:v>PE000007</x:v>
      </x:c>
      <x:c r="K19" s="18" t="str">
        <x:f>A19&amp;"|"&amp;B19&amp;"|"&amp;C19&amp;"|"&amp;D19&amp;"|"&amp;E19</x:f>
        <x:v>KG01|21|45953|ORD-2025-00020|15</x:v>
      </x:c>
      <x:c r="L19" s="18" t="str">
        <x:f>IF(AND(G19&gt;=0,I19&gt;=0,I19&lt;=G19),"OK","CHECK")</x:f>
        <x:v>OK</x:v>
      </x:c>
      <x:c r="M19" s="18" t="str">
        <x:f>IF(COUNTIF(ProductionReference!$A$5:$A$74,J19)=1,"OK","LINK ERROR")</x:f>
        <x:v>OK</x:v>
      </x:c>
      <x:c r="N19" s="18" t="str">
        <x:f>IF(F19=INDEX(ProductionReference!$D$5:$D$74,MATCH(J19,ProductionReference!$A$5:$A$74,0)),"OK","SHIFT MISMATCH")</x:f>
        <x:v>OK</x:v>
      </x:c>
      <x:c r="O19" s="18" t="str">
        <x:f>IF(COUNTIFS($A$5:$A$149,A19,$B$5:$B$149,B19,$C$5:$C$149,C19,$D$5:$D$149,D19,$E$5:$E$149,E19,$H$5:$H$149,H19)=1,"OK","DUPLICATE")</x:f>
        <x:v>OK</x:v>
      </x:c>
      <x:c r="P19" s="18" t="n">
        <x:f>COUNTIF($K$5:$K$149,K19)</x:f>
        <x:v>1</x:v>
      </x:c>
    </x:row>
    <x:row r="20">
      <x:c r="A20" s="13" t="str">
        <x:v>KG01</x:v>
      </x:c>
      <x:c r="B20" s="13" t="n">
        <x:v>21</x:v>
      </x:c>
      <x:c r="C20" s="20" t="n">
        <x:v>45953</x:v>
      </x:c>
      <x:c r="D20" s="13" t="str">
        <x:v>ORD-2025-00020</x:v>
      </x:c>
      <x:c r="E20" s="13" t="n">
        <x:v>20</x:v>
      </x:c>
      <x:c r="F20" s="13" t="str">
        <x:v>PM</x:v>
      </x:c>
      <x:c r="G20" s="16" t="n">
        <x:v>200</x:v>
      </x:c>
      <x:c r="H20" s="16" t="str">
        <x:v>Overpress</x:v>
      </x:c>
      <x:c r="I20" s="16" t="n">
        <x:v>1</x:v>
      </x:c>
      <x:c r="J20" s="18" t="str">
        <x:v>PE000008</x:v>
      </x:c>
      <x:c r="K20" s="18" t="str">
        <x:f>A20&amp;"|"&amp;B20&amp;"|"&amp;C20&amp;"|"&amp;D20&amp;"|"&amp;E20</x:f>
        <x:v>KG01|21|45953|ORD-2025-00020|20</x:v>
      </x:c>
      <x:c r="L20" s="18" t="str">
        <x:f>IF(AND(G20&gt;=0,I20&gt;=0,I20&lt;=G20),"OK","CHECK")</x:f>
        <x:v>OK</x:v>
      </x:c>
      <x:c r="M20" s="18" t="str">
        <x:f>IF(COUNTIF(ProductionReference!$A$5:$A$74,J20)=1,"OK","LINK ERROR")</x:f>
        <x:v>OK</x:v>
      </x:c>
      <x:c r="N20" s="18" t="str">
        <x:f>IF(F20=INDEX(ProductionReference!$D$5:$D$74,MATCH(J20,ProductionReference!$A$5:$A$74,0)),"OK","SHIFT MISMATCH")</x:f>
        <x:v>OK</x:v>
      </x:c>
      <x:c r="O20" s="18" t="str">
        <x:f>IF(COUNTIFS($A$5:$A$149,A20,$B$5:$B$149,B20,$C$5:$C$149,C20,$D$5:$D$149,D20,$E$5:$E$149,E20,$H$5:$H$149,H20)=1,"OK","DUPLICATE")</x:f>
        <x:v>OK</x:v>
      </x:c>
      <x:c r="P20" s="18" t="n">
        <x:f>COUNTIF($K$5:$K$149,K20)</x:f>
        <x:v>1</x:v>
      </x:c>
    </x:row>
    <x:row r="21">
      <x:c r="A21" s="13" t="str">
        <x:v>KG01</x:v>
      </x:c>
      <x:c r="B21" s="13" t="n">
        <x:v>21</x:v>
      </x:c>
      <x:c r="C21" s="20" t="n">
        <x:v>45953</x:v>
      </x:c>
      <x:c r="D21" s="13" t="str">
        <x:v>ORD-2025-00020</x:v>
      </x:c>
      <x:c r="E21" s="13" t="n">
        <x:v>23</x:v>
      </x:c>
      <x:c r="F21" s="13" t="str">
        <x:v>PM</x:v>
      </x:c>
      <x:c r="G21" s="16" t="n">
        <x:v>200</x:v>
      </x:c>
      <x:c r="H21" s="16" t="str">
        <x:v>Thin Wall</x:v>
      </x:c>
      <x:c r="I21" s="16" t="n">
        <x:v>2</x:v>
      </x:c>
      <x:c r="J21" s="18" t="str">
        <x:v>PE000008</x:v>
      </x:c>
      <x:c r="K21" s="18" t="str">
        <x:f>A21&amp;"|"&amp;B21&amp;"|"&amp;C21&amp;"|"&amp;D21&amp;"|"&amp;E21</x:f>
        <x:v>KG01|21|45953|ORD-2025-00020|23</x:v>
      </x:c>
      <x:c r="L21" s="18" t="str">
        <x:f>IF(AND(G21&gt;=0,I21&gt;=0,I21&lt;=G21),"OK","CHECK")</x:f>
        <x:v>OK</x:v>
      </x:c>
      <x:c r="M21" s="18" t="str">
        <x:f>IF(COUNTIF(ProductionReference!$A$5:$A$74,J21)=1,"OK","LINK ERROR")</x:f>
        <x:v>OK</x:v>
      </x:c>
      <x:c r="N21" s="18" t="str">
        <x:f>IF(F21=INDEX(ProductionReference!$D$5:$D$74,MATCH(J21,ProductionReference!$A$5:$A$74,0)),"OK","SHIFT MISMATCH")</x:f>
        <x:v>OK</x:v>
      </x:c>
      <x:c r="O21" s="18" t="str">
        <x:f>IF(COUNTIFS($A$5:$A$149,A21,$B$5:$B$149,B21,$C$5:$C$149,C21,$D$5:$D$149,D21,$E$5:$E$149,E21,$H$5:$H$149,H21)=1,"OK","DUPLICATE")</x:f>
        <x:v>OK</x:v>
      </x:c>
      <x:c r="P21" s="18" t="n">
        <x:f>COUNTIF($K$5:$K$149,K21)</x:f>
        <x:v>1</x:v>
      </x:c>
    </x:row>
    <x:row r="22">
      <x:c r="A22" s="13" t="str">
        <x:v>KG01</x:v>
      </x:c>
      <x:c r="B22" s="13" t="n">
        <x:v>21</x:v>
      </x:c>
      <x:c r="C22" s="20" t="n">
        <x:v>45954</x:v>
      </x:c>
      <x:c r="D22" s="13" t="str">
        <x:v>ORD-2025-00020</x:v>
      </x:c>
      <x:c r="E22" s="13" t="n">
        <x:v>9</x:v>
      </x:c>
      <x:c r="F22" s="13" t="str">
        <x:v>AM</x:v>
      </x:c>
      <x:c r="G22" s="16" t="n">
        <x:v>200</x:v>
      </x:c>
      <x:c r="H22" s="16" t="str">
        <x:v>Distortion</x:v>
      </x:c>
      <x:c r="I22" s="16" t="n">
        <x:v>1</x:v>
      </x:c>
      <x:c r="J22" s="18" t="str">
        <x:v>PE000009</x:v>
      </x:c>
      <x:c r="K22" s="18" t="str">
        <x:f>A22&amp;"|"&amp;B22&amp;"|"&amp;C22&amp;"|"&amp;D22&amp;"|"&amp;E22</x:f>
        <x:v>KG01|21|45954|ORD-2025-00020|9</x:v>
      </x:c>
      <x:c r="L22" s="18" t="str">
        <x:f>IF(AND(G22&gt;=0,I22&gt;=0,I22&lt;=G22),"OK","CHECK")</x:f>
        <x:v>OK</x:v>
      </x:c>
      <x:c r="M22" s="18" t="str">
        <x:f>IF(COUNTIF(ProductionReference!$A$5:$A$74,J22)=1,"OK","LINK ERROR")</x:f>
        <x:v>OK</x:v>
      </x:c>
      <x:c r="N22" s="18" t="str">
        <x:f>IF(F22=INDEX(ProductionReference!$D$5:$D$74,MATCH(J22,ProductionReference!$A$5:$A$74,0)),"OK","SHIFT MISMATCH")</x:f>
        <x:v>OK</x:v>
      </x:c>
      <x:c r="O22" s="18" t="str">
        <x:f>IF(COUNTIFS($A$5:$A$149,A22,$B$5:$B$149,B22,$C$5:$C$149,C22,$D$5:$D$149,D22,$E$5:$E$149,E22,$H$5:$H$149,H22)=1,"OK","DUPLICATE")</x:f>
        <x:v>OK</x:v>
      </x:c>
      <x:c r="P22" s="18" t="n">
        <x:f>COUNTIF($K$5:$K$149,K22)</x:f>
        <x:v>1</x:v>
      </x:c>
    </x:row>
    <x:row r="23">
      <x:c r="A23" s="13" t="str">
        <x:v>KG01</x:v>
      </x:c>
      <x:c r="B23" s="13" t="n">
        <x:v>21</x:v>
      </x:c>
      <x:c r="C23" s="20" t="n">
        <x:v>45954</x:v>
      </x:c>
      <x:c r="D23" s="13" t="str">
        <x:v>ORD-2025-00020</x:v>
      </x:c>
      <x:c r="E23" s="13" t="n">
        <x:v>15</x:v>
      </x:c>
      <x:c r="F23" s="13" t="str">
        <x:v>AM</x:v>
      </x:c>
      <x:c r="G23" s="16" t="n">
        <x:v>100</x:v>
      </x:c>
      <x:c r="H23" s="16" t="str">
        <x:v>Thin Wall</x:v>
      </x:c>
      <x:c r="I23" s="16" t="n">
        <x:v>0</x:v>
      </x:c>
      <x:c r="J23" s="18" t="str">
        <x:v>PE000009</x:v>
      </x:c>
      <x:c r="K23" s="18" t="str">
        <x:f>A23&amp;"|"&amp;B23&amp;"|"&amp;C23&amp;"|"&amp;D23&amp;"|"&amp;E23</x:f>
        <x:v>KG01|21|45954|ORD-2025-00020|15</x:v>
      </x:c>
      <x:c r="L23" s="18" t="str">
        <x:f>IF(AND(G23&gt;=0,I23&gt;=0,I23&lt;=G23),"OK","CHECK")</x:f>
        <x:v>OK</x:v>
      </x:c>
      <x:c r="M23" s="18" t="str">
        <x:f>IF(COUNTIF(ProductionReference!$A$5:$A$74,J23)=1,"OK","LINK ERROR")</x:f>
        <x:v>OK</x:v>
      </x:c>
      <x:c r="N23" s="18" t="str">
        <x:f>IF(F23=INDEX(ProductionReference!$D$5:$D$74,MATCH(J23,ProductionReference!$A$5:$A$74,0)),"OK","SHIFT MISMATCH")</x:f>
        <x:v>OK</x:v>
      </x:c>
      <x:c r="O23" s="18" t="str">
        <x:f>IF(COUNTIFS($A$5:$A$149,A23,$B$5:$B$149,B23,$C$5:$C$149,C23,$D$5:$D$149,D23,$E$5:$E$149,E23,$H$5:$H$149,H23)=1,"OK","DUPLICATE")</x:f>
        <x:v>OK</x:v>
      </x:c>
      <x:c r="P23" s="18" t="n">
        <x:f>COUNTIF($K$5:$K$149,K23)</x:f>
        <x:v>1</x:v>
      </x:c>
    </x:row>
    <x:row r="24">
      <x:c r="A24" s="13" t="str">
        <x:v>KG01</x:v>
      </x:c>
      <x:c r="B24" s="13" t="n">
        <x:v>21</x:v>
      </x:c>
      <x:c r="C24" s="20" t="n">
        <x:v>45954</x:v>
      </x:c>
      <x:c r="D24" s="13" t="str">
        <x:v>ORD-2025-00020</x:v>
      </x:c>
      <x:c r="E24" s="13" t="n">
        <x:v>20</x:v>
      </x:c>
      <x:c r="F24" s="13" t="str">
        <x:v>PM</x:v>
      </x:c>
      <x:c r="G24" s="16" t="n">
        <x:v>150</x:v>
      </x:c>
      <x:c r="H24" s="16" t="str">
        <x:v>Blister</x:v>
      </x:c>
      <x:c r="I24" s="16" t="n">
        <x:v>1</x:v>
      </x:c>
      <x:c r="J24" s="18" t="str">
        <x:v>PE000010</x:v>
      </x:c>
      <x:c r="K24" s="18" t="str">
        <x:f>A24&amp;"|"&amp;B24&amp;"|"&amp;C24&amp;"|"&amp;D24&amp;"|"&amp;E24</x:f>
        <x:v>KG01|21|45954|ORD-2025-00020|20</x:v>
      </x:c>
      <x:c r="L24" s="18" t="str">
        <x:f>IF(AND(G24&gt;=0,I24&gt;=0,I24&lt;=G24),"OK","CHECK")</x:f>
        <x:v>OK</x:v>
      </x:c>
      <x:c r="M24" s="18" t="str">
        <x:f>IF(COUNTIF(ProductionReference!$A$5:$A$74,J24)=1,"OK","LINK ERROR")</x:f>
        <x:v>OK</x:v>
      </x:c>
      <x:c r="N24" s="18" t="str">
        <x:f>IF(F24=INDEX(ProductionReference!$D$5:$D$74,MATCH(J24,ProductionReference!$A$5:$A$74,0)),"OK","SHIFT MISMATCH")</x:f>
        <x:v>OK</x:v>
      </x:c>
      <x:c r="O24" s="18" t="str">
        <x:f>IF(COUNTIFS($A$5:$A$149,A24,$B$5:$B$149,B24,$C$5:$C$149,C24,$D$5:$D$149,D24,$E$5:$E$149,E24,$H$5:$H$149,H24)=1,"OK","DUPLICATE")</x:f>
        <x:v>OK</x:v>
      </x:c>
      <x:c r="P24" s="18" t="n">
        <x:f>COUNTIF($K$5:$K$149,K24)</x:f>
        <x:v>1</x:v>
      </x:c>
    </x:row>
    <x:row r="25">
      <x:c r="A25" s="13" t="str">
        <x:v>KG01</x:v>
      </x:c>
      <x:c r="B25" s="13" t="n">
        <x:v>21</x:v>
      </x:c>
      <x:c r="C25" s="20" t="n">
        <x:v>45954</x:v>
      </x:c>
      <x:c r="D25" s="13" t="str">
        <x:v>ORD-2025-00020</x:v>
      </x:c>
      <x:c r="E25" s="13" t="n">
        <x:v>23</x:v>
      </x:c>
      <x:c r="F25" s="13" t="str">
        <x:v>PM</x:v>
      </x:c>
      <x:c r="G25" s="16" t="n">
        <x:v>100</x:v>
      </x:c>
      <x:c r="H25" s="16" t="str">
        <x:v>Thin Wall</x:v>
      </x:c>
      <x:c r="I25" s="16" t="n">
        <x:v>3</x:v>
      </x:c>
      <x:c r="J25" s="18" t="str">
        <x:v>PE000010</x:v>
      </x:c>
      <x:c r="K25" s="18" t="str">
        <x:f>A25&amp;"|"&amp;B25&amp;"|"&amp;C25&amp;"|"&amp;D25&amp;"|"&amp;E25</x:f>
        <x:v>KG01|21|45954|ORD-2025-00020|23</x:v>
      </x:c>
      <x:c r="L25" s="18" t="str">
        <x:f>IF(AND(G25&gt;=0,I25&gt;=0,I25&lt;=G25),"OK","CHECK")</x:f>
        <x:v>OK</x:v>
      </x:c>
      <x:c r="M25" s="18" t="str">
        <x:f>IF(COUNTIF(ProductionReference!$A$5:$A$74,J25)=1,"OK","LINK ERROR")</x:f>
        <x:v>OK</x:v>
      </x:c>
      <x:c r="N25" s="18" t="str">
        <x:f>IF(F25=INDEX(ProductionReference!$D$5:$D$74,MATCH(J25,ProductionReference!$A$5:$A$74,0)),"OK","SHIFT MISMATCH")</x:f>
        <x:v>OK</x:v>
      </x:c>
      <x:c r="O25" s="18" t="str">
        <x:f>IF(COUNTIFS($A$5:$A$149,A25,$B$5:$B$149,B25,$C$5:$C$149,C25,$D$5:$D$149,D25,$E$5:$E$149,E25,$H$5:$H$149,H25)=1,"OK","DUPLICATE")</x:f>
        <x:v>OK</x:v>
      </x:c>
      <x:c r="P25" s="18" t="n">
        <x:f>COUNTIF($K$5:$K$149,K25)</x:f>
        <x:v>1</x:v>
      </x:c>
    </x:row>
    <x:row r="26">
      <x:c r="A26" s="13" t="str">
        <x:v>KG01</x:v>
      </x:c>
      <x:c r="B26" s="13" t="n">
        <x:v>21</x:v>
      </x:c>
      <x:c r="C26" s="20" t="n">
        <x:v>45955</x:v>
      </x:c>
      <x:c r="D26" s="13" t="str">
        <x:v>ORD-2025-00021</x:v>
      </x:c>
      <x:c r="E26" s="13" t="n">
        <x:v>7</x:v>
      </x:c>
      <x:c r="F26" s="13" t="str">
        <x:v>AM</x:v>
      </x:c>
      <x:c r="G26" s="16" t="n">
        <x:v>50</x:v>
      </x:c>
      <x:c r="H26" s="16" t="str">
        <x:v>Crack</x:v>
      </x:c>
      <x:c r="I26" s="16" t="n">
        <x:v>4</x:v>
      </x:c>
      <x:c r="J26" s="18" t="str">
        <x:v>PE000011</x:v>
      </x:c>
      <x:c r="K26" s="18" t="str">
        <x:f>A26&amp;"|"&amp;B26&amp;"|"&amp;C26&amp;"|"&amp;D26&amp;"|"&amp;E26</x:f>
        <x:v>KG01|21|45955|ORD-2025-00021|7</x:v>
      </x:c>
      <x:c r="L26" s="18" t="str">
        <x:f>IF(AND(G26&gt;=0,I26&gt;=0,I26&lt;=G26),"OK","CHECK")</x:f>
        <x:v>OK</x:v>
      </x:c>
      <x:c r="M26" s="18" t="str">
        <x:f>IF(COUNTIF(ProductionReference!$A$5:$A$74,J26)=1,"OK","LINK ERROR")</x:f>
        <x:v>OK</x:v>
      </x:c>
      <x:c r="N26" s="18" t="str">
        <x:f>IF(F26=INDEX(ProductionReference!$D$5:$D$74,MATCH(J26,ProductionReference!$A$5:$A$74,0)),"OK","SHIFT MISMATCH")</x:f>
        <x:v>OK</x:v>
      </x:c>
      <x:c r="O26" s="18" t="str">
        <x:f>IF(COUNTIFS($A$5:$A$149,A26,$B$5:$B$149,B26,$C$5:$C$149,C26,$D$5:$D$149,D26,$E$5:$E$149,E26,$H$5:$H$149,H26)=1,"OK","DUPLICATE")</x:f>
        <x:v>OK</x:v>
      </x:c>
      <x:c r="P26" s="18" t="n">
        <x:f>COUNTIF($K$5:$K$149,K26)</x:f>
        <x:v>1</x:v>
      </x:c>
    </x:row>
    <x:row r="27">
      <x:c r="A27" s="13" t="str">
        <x:v>KG01</x:v>
      </x:c>
      <x:c r="B27" s="13" t="n">
        <x:v>21</x:v>
      </x:c>
      <x:c r="C27" s="20" t="n">
        <x:v>45955</x:v>
      </x:c>
      <x:c r="D27" s="13" t="str">
        <x:v>ORD-2025-00021</x:v>
      </x:c>
      <x:c r="E27" s="13" t="n">
        <x:v>12</x:v>
      </x:c>
      <x:c r="F27" s="13" t="str">
        <x:v>AM</x:v>
      </x:c>
      <x:c r="G27" s="16" t="n">
        <x:v>50</x:v>
      </x:c>
      <x:c r="H27" s="16" t="str">
        <x:v>Thin Wall</x:v>
      </x:c>
      <x:c r="I27" s="16" t="n">
        <x:v>2</x:v>
      </x:c>
      <x:c r="J27" s="18" t="str">
        <x:v>PE000011</x:v>
      </x:c>
      <x:c r="K27" s="18" t="str">
        <x:f>A27&amp;"|"&amp;B27&amp;"|"&amp;C27&amp;"|"&amp;D27&amp;"|"&amp;E27</x:f>
        <x:v>KG01|21|45955|ORD-2025-00021|12</x:v>
      </x:c>
      <x:c r="L27" s="18" t="str">
        <x:f>IF(AND(G27&gt;=0,I27&gt;=0,I27&lt;=G27),"OK","CHECK")</x:f>
        <x:v>OK</x:v>
      </x:c>
      <x:c r="M27" s="18" t="str">
        <x:f>IF(COUNTIF(ProductionReference!$A$5:$A$74,J27)=1,"OK","LINK ERROR")</x:f>
        <x:v>OK</x:v>
      </x:c>
      <x:c r="N27" s="18" t="str">
        <x:f>IF(F27=INDEX(ProductionReference!$D$5:$D$74,MATCH(J27,ProductionReference!$A$5:$A$74,0)),"OK","SHIFT MISMATCH")</x:f>
        <x:v>OK</x:v>
      </x:c>
      <x:c r="O27" s="18" t="str">
        <x:f>IF(COUNTIFS($A$5:$A$149,A27,$B$5:$B$149,B27,$C$5:$C$149,C27,$D$5:$D$149,D27,$E$5:$E$149,E27,$H$5:$H$149,H27)=1,"OK","DUPLICATE")</x:f>
        <x:v>OK</x:v>
      </x:c>
      <x:c r="P27" s="18" t="n">
        <x:f>COUNTIF($K$5:$K$149,K27)</x:f>
        <x:v>1</x:v>
      </x:c>
    </x:row>
    <x:row r="28">
      <x:c r="A28" s="13" t="str">
        <x:v>KG01</x:v>
      </x:c>
      <x:c r="B28" s="13" t="n">
        <x:v>21</x:v>
      </x:c>
      <x:c r="C28" s="20" t="n">
        <x:v>45955</x:v>
      </x:c>
      <x:c r="D28" s="13" t="str">
        <x:v>ORD-2025-00021</x:v>
      </x:c>
      <x:c r="E28" s="13" t="n">
        <x:v>16</x:v>
      </x:c>
      <x:c r="F28" s="13" t="str">
        <x:v>AM</x:v>
      </x:c>
      <x:c r="G28" s="16" t="n">
        <x:v>50</x:v>
      </x:c>
      <x:c r="H28" s="16" t="str">
        <x:v>Thin Wall</x:v>
      </x:c>
      <x:c r="I28" s="16" t="n">
        <x:v>4</x:v>
      </x:c>
      <x:c r="J28" s="18" t="str">
        <x:v>PE000011</x:v>
      </x:c>
      <x:c r="K28" s="18" t="str">
        <x:f>A28&amp;"|"&amp;B28&amp;"|"&amp;C28&amp;"|"&amp;D28&amp;"|"&amp;E28</x:f>
        <x:v>KG01|21|45955|ORD-2025-00021|16</x:v>
      </x:c>
      <x:c r="L28" s="18" t="str">
        <x:f>IF(AND(G28&gt;=0,I28&gt;=0,I28&lt;=G28),"OK","CHECK")</x:f>
        <x:v>OK</x:v>
      </x:c>
      <x:c r="M28" s="18" t="str">
        <x:f>IF(COUNTIF(ProductionReference!$A$5:$A$74,J28)=1,"OK","LINK ERROR")</x:f>
        <x:v>OK</x:v>
      </x:c>
      <x:c r="N28" s="18" t="str">
        <x:f>IF(F28=INDEX(ProductionReference!$D$5:$D$74,MATCH(J28,ProductionReference!$A$5:$A$74,0)),"OK","SHIFT MISMATCH")</x:f>
        <x:v>OK</x:v>
      </x:c>
      <x:c r="O28" s="18" t="str">
        <x:f>IF(COUNTIFS($A$5:$A$149,A28,$B$5:$B$149,B28,$C$5:$C$149,C28,$D$5:$D$149,D28,$E$5:$E$149,E28,$H$5:$H$149,H28)=1,"OK","DUPLICATE")</x:f>
        <x:v>OK</x:v>
      </x:c>
      <x:c r="P28" s="18" t="n">
        <x:f>COUNTIF($K$5:$K$149,K28)</x:f>
        <x:v>1</x:v>
      </x:c>
    </x:row>
    <x:row r="29">
      <x:c r="A29" s="13" t="str">
        <x:v>KG01</x:v>
      </x:c>
      <x:c r="B29" s="13" t="n">
        <x:v>21</x:v>
      </x:c>
      <x:c r="C29" s="20" t="n">
        <x:v>45955</x:v>
      </x:c>
      <x:c r="D29" s="13" t="str">
        <x:v>ORD-2025-00021</x:v>
      </x:c>
      <x:c r="E29" s="13" t="n">
        <x:v>20</x:v>
      </x:c>
      <x:c r="F29" s="13" t="str">
        <x:v>PM</x:v>
      </x:c>
      <x:c r="G29" s="16" t="n">
        <x:v>200</x:v>
      </x:c>
      <x:c r="H29" s="16" t="str">
        <x:v>Choke Neck</x:v>
      </x:c>
      <x:c r="I29" s="16" t="n">
        <x:v>1</x:v>
      </x:c>
      <x:c r="J29" s="18" t="str">
        <x:v>PE000012</x:v>
      </x:c>
      <x:c r="K29" s="18" t="str">
        <x:f>A29&amp;"|"&amp;B29&amp;"|"&amp;C29&amp;"|"&amp;D29&amp;"|"&amp;E29</x:f>
        <x:v>KG01|21|45955|ORD-2025-00021|20</x:v>
      </x:c>
      <x:c r="L29" s="18" t="str">
        <x:f>IF(AND(G29&gt;=0,I29&gt;=0,I29&lt;=G29),"OK","CHECK")</x:f>
        <x:v>OK</x:v>
      </x:c>
      <x:c r="M29" s="18" t="str">
        <x:f>IF(COUNTIF(ProductionReference!$A$5:$A$74,J29)=1,"OK","LINK ERROR")</x:f>
        <x:v>OK</x:v>
      </x:c>
      <x:c r="N29" s="18" t="str">
        <x:f>IF(F29=INDEX(ProductionReference!$D$5:$D$74,MATCH(J29,ProductionReference!$A$5:$A$74,0)),"OK","SHIFT MISMATCH")</x:f>
        <x:v>OK</x:v>
      </x:c>
      <x:c r="O29" s="18" t="str">
        <x:f>IF(COUNTIFS($A$5:$A$149,A29,$B$5:$B$149,B29,$C$5:$C$149,C29,$D$5:$D$149,D29,$E$5:$E$149,E29,$H$5:$H$149,H29)=1,"OK","DUPLICATE")</x:f>
        <x:v>OK</x:v>
      </x:c>
      <x:c r="P29" s="18" t="n">
        <x:f>COUNTIF($K$5:$K$149,K29)</x:f>
        <x:v>1</x:v>
      </x:c>
    </x:row>
    <x:row r="30">
      <x:c r="A30" s="13" t="str">
        <x:v>KG01</x:v>
      </x:c>
      <x:c r="B30" s="13" t="n">
        <x:v>21</x:v>
      </x:c>
      <x:c r="C30" s="20" t="n">
        <x:v>45955</x:v>
      </x:c>
      <x:c r="D30" s="13" t="str">
        <x:v>ORD-2025-00021</x:v>
      </x:c>
      <x:c r="E30" s="13" t="n">
        <x:v>23</x:v>
      </x:c>
      <x:c r="F30" s="13" t="str">
        <x:v>PM</x:v>
      </x:c>
      <x:c r="G30" s="16" t="n">
        <x:v>50</x:v>
      </x:c>
      <x:c r="H30" s="16" t="str">
        <x:v>Overpress</x:v>
      </x:c>
      <x:c r="I30" s="16" t="n">
        <x:v>0</x:v>
      </x:c>
      <x:c r="J30" s="18" t="str">
        <x:v>PE000012</x:v>
      </x:c>
      <x:c r="K30" s="18" t="str">
        <x:f>A30&amp;"|"&amp;B30&amp;"|"&amp;C30&amp;"|"&amp;D30&amp;"|"&amp;E30</x:f>
        <x:v>KG01|21|45955|ORD-2025-00021|23</x:v>
      </x:c>
      <x:c r="L30" s="18" t="str">
        <x:f>IF(AND(G30&gt;=0,I30&gt;=0,I30&lt;=G30),"OK","CHECK")</x:f>
        <x:v>OK</x:v>
      </x:c>
      <x:c r="M30" s="18" t="str">
        <x:f>IF(COUNTIF(ProductionReference!$A$5:$A$74,J30)=1,"OK","LINK ERROR")</x:f>
        <x:v>OK</x:v>
      </x:c>
      <x:c r="N30" s="18" t="str">
        <x:f>IF(F30=INDEX(ProductionReference!$D$5:$D$74,MATCH(J30,ProductionReference!$A$5:$A$74,0)),"OK","SHIFT MISMATCH")</x:f>
        <x:v>OK</x:v>
      </x:c>
      <x:c r="O30" s="18" t="str">
        <x:f>IF(COUNTIFS($A$5:$A$149,A30,$B$5:$B$149,B30,$C$5:$C$149,C30,$D$5:$D$149,D30,$E$5:$E$149,E30,$H$5:$H$149,H30)=1,"OK","DUPLICATE")</x:f>
        <x:v>OK</x:v>
      </x:c>
      <x:c r="P30" s="18" t="n">
        <x:f>COUNTIF($K$5:$K$149,K30)</x:f>
        <x:v>1</x:v>
      </x:c>
    </x:row>
    <x:row r="31">
      <x:c r="A31" s="13" t="str">
        <x:v>KG01</x:v>
      </x:c>
      <x:c r="B31" s="13" t="n">
        <x:v>21</x:v>
      </x:c>
      <x:c r="C31" s="20" t="n">
        <x:v>45956</x:v>
      </x:c>
      <x:c r="D31" s="13" t="str">
        <x:v>ORD-2025-00021</x:v>
      </x:c>
      <x:c r="E31" s="13" t="n">
        <x:v>9</x:v>
      </x:c>
      <x:c r="F31" s="13" t="str">
        <x:v>AM</x:v>
      </x:c>
      <x:c r="G31" s="16" t="n">
        <x:v>50</x:v>
      </x:c>
      <x:c r="H31" s="16" t="str">
        <x:v>Bird Swing</x:v>
      </x:c>
      <x:c r="I31" s="16" t="n">
        <x:v>2</x:v>
      </x:c>
      <x:c r="J31" s="18" t="str">
        <x:v>PE000013</x:v>
      </x:c>
      <x:c r="K31" s="18" t="str">
        <x:f>A31&amp;"|"&amp;B31&amp;"|"&amp;C31&amp;"|"&amp;D31&amp;"|"&amp;E31</x:f>
        <x:v>KG01|21|45956|ORD-2025-00021|9</x:v>
      </x:c>
      <x:c r="L31" s="18" t="str">
        <x:f>IF(AND(G31&gt;=0,I31&gt;=0,I31&lt;=G31),"OK","CHECK")</x:f>
        <x:v>OK</x:v>
      </x:c>
      <x:c r="M31" s="18" t="str">
        <x:f>IF(COUNTIF(ProductionReference!$A$5:$A$74,J31)=1,"OK","LINK ERROR")</x:f>
        <x:v>OK</x:v>
      </x:c>
      <x:c r="N31" s="18" t="str">
        <x:f>IF(F31=INDEX(ProductionReference!$D$5:$D$74,MATCH(J31,ProductionReference!$A$5:$A$74,0)),"OK","SHIFT MISMATCH")</x:f>
        <x:v>OK</x:v>
      </x:c>
      <x:c r="O31" s="18" t="str">
        <x:f>IF(COUNTIFS($A$5:$A$149,A31,$B$5:$B$149,B31,$C$5:$C$149,C31,$D$5:$D$149,D31,$E$5:$E$149,E31,$H$5:$H$149,H31)=1,"OK","DUPLICATE")</x:f>
        <x:v>OK</x:v>
      </x:c>
      <x:c r="P31" s="18" t="n">
        <x:f>COUNTIF($K$5:$K$149,K31)</x:f>
        <x:v>1</x:v>
      </x:c>
    </x:row>
    <x:row r="32">
      <x:c r="A32" s="13" t="str">
        <x:v>KG01</x:v>
      </x:c>
      <x:c r="B32" s="13" t="n">
        <x:v>21</x:v>
      </x:c>
      <x:c r="C32" s="20" t="n">
        <x:v>45956</x:v>
      </x:c>
      <x:c r="D32" s="13" t="str">
        <x:v>ORD-2025-00021</x:v>
      </x:c>
      <x:c r="E32" s="13" t="n">
        <x:v>15</x:v>
      </x:c>
      <x:c r="F32" s="13" t="str">
        <x:v>AM</x:v>
      </x:c>
      <x:c r="G32" s="16" t="n">
        <x:v>50</x:v>
      </x:c>
      <x:c r="H32" s="16" t="str">
        <x:v>Thin Wall</x:v>
      </x:c>
      <x:c r="I32" s="16" t="n">
        <x:v>0</x:v>
      </x:c>
      <x:c r="J32" s="18" t="str">
        <x:v>PE000013</x:v>
      </x:c>
      <x:c r="K32" s="18" t="str">
        <x:f>A32&amp;"|"&amp;B32&amp;"|"&amp;C32&amp;"|"&amp;D32&amp;"|"&amp;E32</x:f>
        <x:v>KG01|21|45956|ORD-2025-00021|15</x:v>
      </x:c>
      <x:c r="L32" s="18" t="str">
        <x:f>IF(AND(G32&gt;=0,I32&gt;=0,I32&lt;=G32),"OK","CHECK")</x:f>
        <x:v>OK</x:v>
      </x:c>
      <x:c r="M32" s="18" t="str">
        <x:f>IF(COUNTIF(ProductionReference!$A$5:$A$74,J32)=1,"OK","LINK ERROR")</x:f>
        <x:v>OK</x:v>
      </x:c>
      <x:c r="N32" s="18" t="str">
        <x:f>IF(F32=INDEX(ProductionReference!$D$5:$D$74,MATCH(J32,ProductionReference!$A$5:$A$74,0)),"OK","SHIFT MISMATCH")</x:f>
        <x:v>OK</x:v>
      </x:c>
      <x:c r="O32" s="18" t="str">
        <x:f>IF(COUNTIFS($A$5:$A$149,A32,$B$5:$B$149,B32,$C$5:$C$149,C32,$D$5:$D$149,D32,$E$5:$E$149,E32,$H$5:$H$149,H32)=1,"OK","DUPLICATE")</x:f>
        <x:v>OK</x:v>
      </x:c>
      <x:c r="P32" s="18" t="n">
        <x:f>COUNTIF($K$5:$K$149,K32)</x:f>
        <x:v>1</x:v>
      </x:c>
    </x:row>
    <x:row r="33">
      <x:c r="A33" s="13" t="str">
        <x:v>KG01</x:v>
      </x:c>
      <x:c r="B33" s="13" t="n">
        <x:v>21</x:v>
      </x:c>
      <x:c r="C33" s="20" t="n">
        <x:v>45956</x:v>
      </x:c>
      <x:c r="D33" s="13" t="str">
        <x:v>ORD-2025-00021</x:v>
      </x:c>
      <x:c r="E33" s="13" t="n">
        <x:v>20</x:v>
      </x:c>
      <x:c r="F33" s="13" t="str">
        <x:v>PM</x:v>
      </x:c>
      <x:c r="G33" s="16" t="n">
        <x:v>100</x:v>
      </x:c>
      <x:c r="H33" s="16" t="str">
        <x:v>Overpress</x:v>
      </x:c>
      <x:c r="I33" s="16" t="n">
        <x:v>0</x:v>
      </x:c>
      <x:c r="J33" s="18" t="str">
        <x:v>PE000014</x:v>
      </x:c>
      <x:c r="K33" s="18" t="str">
        <x:f>A33&amp;"|"&amp;B33&amp;"|"&amp;C33&amp;"|"&amp;D33&amp;"|"&amp;E33</x:f>
        <x:v>KG01|21|45956|ORD-2025-00021|20</x:v>
      </x:c>
      <x:c r="L33" s="18" t="str">
        <x:f>IF(AND(G33&gt;=0,I33&gt;=0,I33&lt;=G33),"OK","CHECK")</x:f>
        <x:v>OK</x:v>
      </x:c>
      <x:c r="M33" s="18" t="str">
        <x:f>IF(COUNTIF(ProductionReference!$A$5:$A$74,J33)=1,"OK","LINK ERROR")</x:f>
        <x:v>OK</x:v>
      </x:c>
      <x:c r="N33" s="18" t="str">
        <x:f>IF(F33=INDEX(ProductionReference!$D$5:$D$74,MATCH(J33,ProductionReference!$A$5:$A$74,0)),"OK","SHIFT MISMATCH")</x:f>
        <x:v>OK</x:v>
      </x:c>
      <x:c r="O33" s="18" t="str">
        <x:f>IF(COUNTIFS($A$5:$A$149,A33,$B$5:$B$149,B33,$C$5:$C$149,C33,$D$5:$D$149,D33,$E$5:$E$149,E33,$H$5:$H$149,H33)=1,"OK","DUPLICATE")</x:f>
        <x:v>OK</x:v>
      </x:c>
      <x:c r="P33" s="18" t="n">
        <x:f>COUNTIF($K$5:$K$149,K33)</x:f>
        <x:v>1</x:v>
      </x:c>
    </x:row>
    <x:row r="34">
      <x:c r="A34" s="13" t="str">
        <x:v>KG01</x:v>
      </x:c>
      <x:c r="B34" s="13" t="n">
        <x:v>21</x:v>
      </x:c>
      <x:c r="C34" s="20" t="n">
        <x:v>45956</x:v>
      </x:c>
      <x:c r="D34" s="13" t="str">
        <x:v>ORD-2025-00021</x:v>
      </x:c>
      <x:c r="E34" s="13" t="n">
        <x:v>23</x:v>
      </x:c>
      <x:c r="F34" s="13" t="str">
        <x:v>PM</x:v>
      </x:c>
      <x:c r="G34" s="16" t="n">
        <x:v>50</x:v>
      </x:c>
      <x:c r="H34" s="16" t="str">
        <x:v>Blister</x:v>
      </x:c>
      <x:c r="I34" s="16" t="n">
        <x:v>0</x:v>
      </x:c>
      <x:c r="J34" s="18" t="str">
        <x:v>PE000014</x:v>
      </x:c>
      <x:c r="K34" s="18" t="str">
        <x:f>A34&amp;"|"&amp;B34&amp;"|"&amp;C34&amp;"|"&amp;D34&amp;"|"&amp;E34</x:f>
        <x:v>KG01|21|45956|ORD-2025-00021|23</x:v>
      </x:c>
      <x:c r="L34" s="18" t="str">
        <x:f>IF(AND(G34&gt;=0,I34&gt;=0,I34&lt;=G34),"OK","CHECK")</x:f>
        <x:v>OK</x:v>
      </x:c>
      <x:c r="M34" s="18" t="str">
        <x:f>IF(COUNTIF(ProductionReference!$A$5:$A$74,J34)=1,"OK","LINK ERROR")</x:f>
        <x:v>OK</x:v>
      </x:c>
      <x:c r="N34" s="18" t="str">
        <x:f>IF(F34=INDEX(ProductionReference!$D$5:$D$74,MATCH(J34,ProductionReference!$A$5:$A$74,0)),"OK","SHIFT MISMATCH")</x:f>
        <x:v>OK</x:v>
      </x:c>
      <x:c r="O34" s="18" t="str">
        <x:f>IF(COUNTIFS($A$5:$A$149,A34,$B$5:$B$149,B34,$C$5:$C$149,C34,$D$5:$D$149,D34,$E$5:$E$149,E34,$H$5:$H$149,H34)=1,"OK","DUPLICATE")</x:f>
        <x:v>OK</x:v>
      </x:c>
      <x:c r="P34" s="18" t="n">
        <x:f>COUNTIF($K$5:$K$149,K34)</x:f>
        <x:v>1</x:v>
      </x:c>
    </x:row>
    <x:row r="35">
      <x:c r="A35" s="13" t="str">
        <x:v>KG01</x:v>
      </x:c>
      <x:c r="B35" s="13" t="n">
        <x:v>22</x:v>
      </x:c>
      <x:c r="C35" s="20" t="n">
        <x:v>45950</x:v>
      </x:c>
      <x:c r="D35" s="13" t="str">
        <x:v>ORD-2025-00056</x:v>
      </x:c>
      <x:c r="E35" s="13" t="n">
        <x:v>7</x:v>
      </x:c>
      <x:c r="F35" s="13" t="str">
        <x:v>AM</x:v>
      </x:c>
      <x:c r="G35" s="16" t="n">
        <x:v>150</x:v>
      </x:c>
      <x:c r="H35" s="16" t="str">
        <x:v>Distortion</x:v>
      </x:c>
      <x:c r="I35" s="16" t="n">
        <x:v>10</x:v>
      </x:c>
      <x:c r="J35" s="18" t="str">
        <x:v>PE000015</x:v>
      </x:c>
      <x:c r="K35" s="18" t="str">
        <x:f>A35&amp;"|"&amp;B35&amp;"|"&amp;C35&amp;"|"&amp;D35&amp;"|"&amp;E35</x:f>
        <x:v>KG01|22|45950|ORD-2025-00056|7</x:v>
      </x:c>
      <x:c r="L35" s="18" t="str">
        <x:f>IF(AND(G35&gt;=0,I35&gt;=0,I35&lt;=G35),"OK","CHECK")</x:f>
        <x:v>OK</x:v>
      </x:c>
      <x:c r="M35" s="18" t="str">
        <x:f>IF(COUNTIF(ProductionReference!$A$5:$A$74,J35)=1,"OK","LINK ERROR")</x:f>
        <x:v>OK</x:v>
      </x:c>
      <x:c r="N35" s="18" t="str">
        <x:f>IF(F35=INDEX(ProductionReference!$D$5:$D$74,MATCH(J35,ProductionReference!$A$5:$A$74,0)),"OK","SHIFT MISMATCH")</x:f>
        <x:v>OK</x:v>
      </x:c>
      <x:c r="O35" s="18" t="str">
        <x:f>IF(COUNTIFS($A$5:$A$149,A35,$B$5:$B$149,B35,$C$5:$C$149,C35,$D$5:$D$149,D35,$E$5:$E$149,E35,$H$5:$H$149,H35)=1,"OK","DUPLICATE")</x:f>
        <x:v>OK</x:v>
      </x:c>
      <x:c r="P35" s="18" t="n">
        <x:f>COUNTIF($K$5:$K$149,K35)</x:f>
        <x:v>1</x:v>
      </x:c>
    </x:row>
    <x:row r="36">
      <x:c r="A36" s="13" t="str">
        <x:v>KG01</x:v>
      </x:c>
      <x:c r="B36" s="13" t="n">
        <x:v>22</x:v>
      </x:c>
      <x:c r="C36" s="20" t="n">
        <x:v>45950</x:v>
      </x:c>
      <x:c r="D36" s="13" t="str">
        <x:v>ORD-2025-00056</x:v>
      </x:c>
      <x:c r="E36" s="13" t="n">
        <x:v>12</x:v>
      </x:c>
      <x:c r="F36" s="13" t="str">
        <x:v>AM</x:v>
      </x:c>
      <x:c r="G36" s="16" t="n">
        <x:v>100</x:v>
      </x:c>
      <x:c r="H36" s="16" t="str">
        <x:v>Stone</x:v>
      </x:c>
      <x:c r="I36" s="16" t="n">
        <x:v>5</x:v>
      </x:c>
      <x:c r="J36" s="18" t="str">
        <x:v>PE000015</x:v>
      </x:c>
      <x:c r="K36" s="18" t="str">
        <x:f>A36&amp;"|"&amp;B36&amp;"|"&amp;C36&amp;"|"&amp;D36&amp;"|"&amp;E36</x:f>
        <x:v>KG01|22|45950|ORD-2025-00056|12</x:v>
      </x:c>
      <x:c r="L36" s="18" t="str">
        <x:f>IF(AND(G36&gt;=0,I36&gt;=0,I36&lt;=G36),"OK","CHECK")</x:f>
        <x:v>OK</x:v>
      </x:c>
      <x:c r="M36" s="18" t="str">
        <x:f>IF(COUNTIF(ProductionReference!$A$5:$A$74,J36)=1,"OK","LINK ERROR")</x:f>
        <x:v>OK</x:v>
      </x:c>
      <x:c r="N36" s="18" t="str">
        <x:f>IF(F36=INDEX(ProductionReference!$D$5:$D$74,MATCH(J36,ProductionReference!$A$5:$A$74,0)),"OK","SHIFT MISMATCH")</x:f>
        <x:v>OK</x:v>
      </x:c>
      <x:c r="O36" s="18" t="str">
        <x:f>IF(COUNTIFS($A$5:$A$149,A36,$B$5:$B$149,B36,$C$5:$C$149,C36,$D$5:$D$149,D36,$E$5:$E$149,E36,$H$5:$H$149,H36)=1,"OK","DUPLICATE")</x:f>
        <x:v>OK</x:v>
      </x:c>
      <x:c r="P36" s="18" t="n">
        <x:f>COUNTIF($K$5:$K$149,K36)</x:f>
        <x:v>1</x:v>
      </x:c>
    </x:row>
    <x:row r="37">
      <x:c r="A37" s="13" t="str">
        <x:v>KG01</x:v>
      </x:c>
      <x:c r="B37" s="13" t="n">
        <x:v>22</x:v>
      </x:c>
      <x:c r="C37" s="20" t="n">
        <x:v>45950</x:v>
      </x:c>
      <x:c r="D37" s="13" t="str">
        <x:v>ORD-2025-00056</x:v>
      </x:c>
      <x:c r="E37" s="13" t="n">
        <x:v>16</x:v>
      </x:c>
      <x:c r="F37" s="13" t="str">
        <x:v>AM</x:v>
      </x:c>
      <x:c r="G37" s="16" t="n">
        <x:v>200</x:v>
      </x:c>
      <x:c r="H37" s="16" t="str">
        <x:v>Bird Swing</x:v>
      </x:c>
      <x:c r="I37" s="16" t="n">
        <x:v>6</x:v>
      </x:c>
      <x:c r="J37" s="18" t="str">
        <x:v>PE000015</x:v>
      </x:c>
      <x:c r="K37" s="18" t="str">
        <x:f>A37&amp;"|"&amp;B37&amp;"|"&amp;C37&amp;"|"&amp;D37&amp;"|"&amp;E37</x:f>
        <x:v>KG01|22|45950|ORD-2025-00056|16</x:v>
      </x:c>
      <x:c r="L37" s="18" t="str">
        <x:f>IF(AND(G37&gt;=0,I37&gt;=0,I37&lt;=G37),"OK","CHECK")</x:f>
        <x:v>OK</x:v>
      </x:c>
      <x:c r="M37" s="18" t="str">
        <x:f>IF(COUNTIF(ProductionReference!$A$5:$A$74,J37)=1,"OK","LINK ERROR")</x:f>
        <x:v>OK</x:v>
      </x:c>
      <x:c r="N37" s="18" t="str">
        <x:f>IF(F37=INDEX(ProductionReference!$D$5:$D$74,MATCH(J37,ProductionReference!$A$5:$A$74,0)),"OK","SHIFT MISMATCH")</x:f>
        <x:v>OK</x:v>
      </x:c>
      <x:c r="O37" s="18" t="str">
        <x:f>IF(COUNTIFS($A$5:$A$149,A37,$B$5:$B$149,B37,$C$5:$C$149,C37,$D$5:$D$149,D37,$E$5:$E$149,E37,$H$5:$H$149,H37)=1,"OK","DUPLICATE")</x:f>
        <x:v>OK</x:v>
      </x:c>
      <x:c r="P37" s="18" t="n">
        <x:f>COUNTIF($K$5:$K$149,K37)</x:f>
        <x:v>1</x:v>
      </x:c>
    </x:row>
    <x:row r="38">
      <x:c r="A38" s="13" t="str">
        <x:v>KG01</x:v>
      </x:c>
      <x:c r="B38" s="13" t="n">
        <x:v>22</x:v>
      </x:c>
      <x:c r="C38" s="20" t="n">
        <x:v>45950</x:v>
      </x:c>
      <x:c r="D38" s="13" t="str">
        <x:v>ORD-2025-00056</x:v>
      </x:c>
      <x:c r="E38" s="13" t="n">
        <x:v>20</x:v>
      </x:c>
      <x:c r="F38" s="13" t="str">
        <x:v>PM</x:v>
      </x:c>
      <x:c r="G38" s="16" t="n">
        <x:v>100</x:v>
      </x:c>
      <x:c r="H38" s="16" t="str">
        <x:v>Choke Neck</x:v>
      </x:c>
      <x:c r="I38" s="16" t="n">
        <x:v>0</x:v>
      </x:c>
      <x:c r="J38" s="18" t="str">
        <x:v>PE000016</x:v>
      </x:c>
      <x:c r="K38" s="18" t="str">
        <x:f>A38&amp;"|"&amp;B38&amp;"|"&amp;C38&amp;"|"&amp;D38&amp;"|"&amp;E38</x:f>
        <x:v>KG01|22|45950|ORD-2025-00056|20</x:v>
      </x:c>
      <x:c r="L38" s="18" t="str">
        <x:f>IF(AND(G38&gt;=0,I38&gt;=0,I38&lt;=G38),"OK","CHECK")</x:f>
        <x:v>OK</x:v>
      </x:c>
      <x:c r="M38" s="18" t="str">
        <x:f>IF(COUNTIF(ProductionReference!$A$5:$A$74,J38)=1,"OK","LINK ERROR")</x:f>
        <x:v>OK</x:v>
      </x:c>
      <x:c r="N38" s="18" t="str">
        <x:f>IF(F38=INDEX(ProductionReference!$D$5:$D$74,MATCH(J38,ProductionReference!$A$5:$A$74,0)),"OK","SHIFT MISMATCH")</x:f>
        <x:v>OK</x:v>
      </x:c>
      <x:c r="O38" s="18" t="str">
        <x:f>IF(COUNTIFS($A$5:$A$149,A38,$B$5:$B$149,B38,$C$5:$C$149,C38,$D$5:$D$149,D38,$E$5:$E$149,E38,$H$5:$H$149,H38)=1,"OK","DUPLICATE")</x:f>
        <x:v>OK</x:v>
      </x:c>
      <x:c r="P38" s="18" t="n">
        <x:f>COUNTIF($K$5:$K$149,K38)</x:f>
        <x:v>1</x:v>
      </x:c>
    </x:row>
    <x:row r="39">
      <x:c r="A39" s="13" t="str">
        <x:v>KG01</x:v>
      </x:c>
      <x:c r="B39" s="13" t="n">
        <x:v>22</x:v>
      </x:c>
      <x:c r="C39" s="20" t="n">
        <x:v>45950</x:v>
      </x:c>
      <x:c r="D39" s="13" t="str">
        <x:v>ORD-2025-00056</x:v>
      </x:c>
      <x:c r="E39" s="13" t="n">
        <x:v>23</x:v>
      </x:c>
      <x:c r="F39" s="13" t="str">
        <x:v>PM</x:v>
      </x:c>
      <x:c r="G39" s="16" t="n">
        <x:v>150</x:v>
      </x:c>
      <x:c r="H39" s="16" t="str">
        <x:v>Blister</x:v>
      </x:c>
      <x:c r="I39" s="16" t="n">
        <x:v>3</x:v>
      </x:c>
      <x:c r="J39" s="18" t="str">
        <x:v>PE000016</x:v>
      </x:c>
      <x:c r="K39" s="18" t="str">
        <x:f>A39&amp;"|"&amp;B39&amp;"|"&amp;C39&amp;"|"&amp;D39&amp;"|"&amp;E39</x:f>
        <x:v>KG01|22|45950|ORD-2025-00056|23</x:v>
      </x:c>
      <x:c r="L39" s="18" t="str">
        <x:f>IF(AND(G39&gt;=0,I39&gt;=0,I39&lt;=G39),"OK","CHECK")</x:f>
        <x:v>OK</x:v>
      </x:c>
      <x:c r="M39" s="18" t="str">
        <x:f>IF(COUNTIF(ProductionReference!$A$5:$A$74,J39)=1,"OK","LINK ERROR")</x:f>
        <x:v>OK</x:v>
      </x:c>
      <x:c r="N39" s="18" t="str">
        <x:f>IF(F39=INDEX(ProductionReference!$D$5:$D$74,MATCH(J39,ProductionReference!$A$5:$A$74,0)),"OK","SHIFT MISMATCH")</x:f>
        <x:v>OK</x:v>
      </x:c>
      <x:c r="O39" s="18" t="str">
        <x:f>IF(COUNTIFS($A$5:$A$149,A39,$B$5:$B$149,B39,$C$5:$C$149,C39,$D$5:$D$149,D39,$E$5:$E$149,E39,$H$5:$H$149,H39)=1,"OK","DUPLICATE")</x:f>
        <x:v>OK</x:v>
      </x:c>
      <x:c r="P39" s="18" t="n">
        <x:f>COUNTIF($K$5:$K$149,K39)</x:f>
        <x:v>1</x:v>
      </x:c>
    </x:row>
    <x:row r="40">
      <x:c r="A40" s="13" t="str">
        <x:v>KG01</x:v>
      </x:c>
      <x:c r="B40" s="13" t="n">
        <x:v>22</x:v>
      </x:c>
      <x:c r="C40" s="20" t="n">
        <x:v>45951</x:v>
      </x:c>
      <x:c r="D40" s="13" t="str">
        <x:v>ORD-2025-00056</x:v>
      </x:c>
      <x:c r="E40" s="13" t="n">
        <x:v>9</x:v>
      </x:c>
      <x:c r="F40" s="13" t="str">
        <x:v>AM</x:v>
      </x:c>
      <x:c r="G40" s="16" t="n">
        <x:v>150</x:v>
      </x:c>
      <x:c r="H40" s="16" t="str">
        <x:v>Chip</x:v>
      </x:c>
      <x:c r="I40" s="16" t="n">
        <x:v>3</x:v>
      </x:c>
      <x:c r="J40" s="18" t="str">
        <x:v>PE000017</x:v>
      </x:c>
      <x:c r="K40" s="18" t="str">
        <x:f>A40&amp;"|"&amp;B40&amp;"|"&amp;C40&amp;"|"&amp;D40&amp;"|"&amp;E40</x:f>
        <x:v>KG01|22|45951|ORD-2025-00056|9</x:v>
      </x:c>
      <x:c r="L40" s="18" t="str">
        <x:f>IF(AND(G40&gt;=0,I40&gt;=0,I40&lt;=G40),"OK","CHECK")</x:f>
        <x:v>OK</x:v>
      </x:c>
      <x:c r="M40" s="18" t="str">
        <x:f>IF(COUNTIF(ProductionReference!$A$5:$A$74,J40)=1,"OK","LINK ERROR")</x:f>
        <x:v>OK</x:v>
      </x:c>
      <x:c r="N40" s="18" t="str">
        <x:f>IF(F40=INDEX(ProductionReference!$D$5:$D$74,MATCH(J40,ProductionReference!$A$5:$A$74,0)),"OK","SHIFT MISMATCH")</x:f>
        <x:v>OK</x:v>
      </x:c>
      <x:c r="O40" s="18" t="str">
        <x:f>IF(COUNTIFS($A$5:$A$149,A40,$B$5:$B$149,B40,$C$5:$C$149,C40,$D$5:$D$149,D40,$E$5:$E$149,E40,$H$5:$H$149,H40)=1,"OK","DUPLICATE")</x:f>
        <x:v>OK</x:v>
      </x:c>
      <x:c r="P40" s="18" t="n">
        <x:f>COUNTIF($K$5:$K$149,K40)</x:f>
        <x:v>1</x:v>
      </x:c>
    </x:row>
    <x:row r="41">
      <x:c r="A41" s="13" t="str">
        <x:v>KG01</x:v>
      </x:c>
      <x:c r="B41" s="13" t="n">
        <x:v>22</x:v>
      </x:c>
      <x:c r="C41" s="20" t="n">
        <x:v>45951</x:v>
      </x:c>
      <x:c r="D41" s="13" t="str">
        <x:v>ORD-2025-00056</x:v>
      </x:c>
      <x:c r="E41" s="13" t="n">
        <x:v>15</x:v>
      </x:c>
      <x:c r="F41" s="13" t="str">
        <x:v>AM</x:v>
      </x:c>
      <x:c r="G41" s="16" t="n">
        <x:v>150</x:v>
      </x:c>
      <x:c r="H41" s="16" t="str">
        <x:v>Stone</x:v>
      </x:c>
      <x:c r="I41" s="16" t="n">
        <x:v>4</x:v>
      </x:c>
      <x:c r="J41" s="18" t="str">
        <x:v>PE000017</x:v>
      </x:c>
      <x:c r="K41" s="18" t="str">
        <x:f>A41&amp;"|"&amp;B41&amp;"|"&amp;C41&amp;"|"&amp;D41&amp;"|"&amp;E41</x:f>
        <x:v>KG01|22|45951|ORD-2025-00056|15</x:v>
      </x:c>
      <x:c r="L41" s="18" t="str">
        <x:f>IF(AND(G41&gt;=0,I41&gt;=0,I41&lt;=G41),"OK","CHECK")</x:f>
        <x:v>OK</x:v>
      </x:c>
      <x:c r="M41" s="18" t="str">
        <x:f>IF(COUNTIF(ProductionReference!$A$5:$A$74,J41)=1,"OK","LINK ERROR")</x:f>
        <x:v>OK</x:v>
      </x:c>
      <x:c r="N41" s="18" t="str">
        <x:f>IF(F41=INDEX(ProductionReference!$D$5:$D$74,MATCH(J41,ProductionReference!$A$5:$A$74,0)),"OK","SHIFT MISMATCH")</x:f>
        <x:v>OK</x:v>
      </x:c>
      <x:c r="O41" s="18" t="str">
        <x:f>IF(COUNTIFS($A$5:$A$149,A41,$B$5:$B$149,B41,$C$5:$C$149,C41,$D$5:$D$149,D41,$E$5:$E$149,E41,$H$5:$H$149,H41)=1,"OK","DUPLICATE")</x:f>
        <x:v>OK</x:v>
      </x:c>
      <x:c r="P41" s="18" t="n">
        <x:f>COUNTIF($K$5:$K$149,K41)</x:f>
        <x:v>1</x:v>
      </x:c>
    </x:row>
    <x:row r="42">
      <x:c r="A42" s="13" t="str">
        <x:v>KG01</x:v>
      </x:c>
      <x:c r="B42" s="13" t="n">
        <x:v>22</x:v>
      </x:c>
      <x:c r="C42" s="20" t="n">
        <x:v>45951</x:v>
      </x:c>
      <x:c r="D42" s="13" t="str">
        <x:v>ORD-2025-00056</x:v>
      </x:c>
      <x:c r="E42" s="13" t="n">
        <x:v>20</x:v>
      </x:c>
      <x:c r="F42" s="13" t="str">
        <x:v>PM</x:v>
      </x:c>
      <x:c r="G42" s="16" t="n">
        <x:v>50</x:v>
      </x:c>
      <x:c r="H42" s="16" t="str">
        <x:v>Distortion</x:v>
      </x:c>
      <x:c r="I42" s="16" t="n">
        <x:v>2</x:v>
      </x:c>
      <x:c r="J42" s="18" t="str">
        <x:v>PE000018</x:v>
      </x:c>
      <x:c r="K42" s="18" t="str">
        <x:f>A42&amp;"|"&amp;B42&amp;"|"&amp;C42&amp;"|"&amp;D42&amp;"|"&amp;E42</x:f>
        <x:v>KG01|22|45951|ORD-2025-00056|20</x:v>
      </x:c>
      <x:c r="L42" s="18" t="str">
        <x:f>IF(AND(G42&gt;=0,I42&gt;=0,I42&lt;=G42),"OK","CHECK")</x:f>
        <x:v>OK</x:v>
      </x:c>
      <x:c r="M42" s="18" t="str">
        <x:f>IF(COUNTIF(ProductionReference!$A$5:$A$74,J42)=1,"OK","LINK ERROR")</x:f>
        <x:v>OK</x:v>
      </x:c>
      <x:c r="N42" s="18" t="str">
        <x:f>IF(F42=INDEX(ProductionReference!$D$5:$D$74,MATCH(J42,ProductionReference!$A$5:$A$74,0)),"OK","SHIFT MISMATCH")</x:f>
        <x:v>OK</x:v>
      </x:c>
      <x:c r="O42" s="18" t="str">
        <x:f>IF(COUNTIFS($A$5:$A$149,A42,$B$5:$B$149,B42,$C$5:$C$149,C42,$D$5:$D$149,D42,$E$5:$E$149,E42,$H$5:$H$149,H42)=1,"OK","DUPLICATE")</x:f>
        <x:v>OK</x:v>
      </x:c>
      <x:c r="P42" s="18" t="n">
        <x:f>COUNTIF($K$5:$K$149,K42)</x:f>
        <x:v>1</x:v>
      </x:c>
    </x:row>
    <x:row r="43">
      <x:c r="A43" s="13" t="str">
        <x:v>KG01</x:v>
      </x:c>
      <x:c r="B43" s="13" t="n">
        <x:v>22</x:v>
      </x:c>
      <x:c r="C43" s="20" t="n">
        <x:v>45951</x:v>
      </x:c>
      <x:c r="D43" s="13" t="str">
        <x:v>ORD-2025-00056</x:v>
      </x:c>
      <x:c r="E43" s="13" t="n">
        <x:v>23</x:v>
      </x:c>
      <x:c r="F43" s="13" t="str">
        <x:v>PM</x:v>
      </x:c>
      <x:c r="G43" s="16" t="n">
        <x:v>50</x:v>
      </x:c>
      <x:c r="H43" s="16" t="str">
        <x:v>Chip</x:v>
      </x:c>
      <x:c r="I43" s="16" t="n">
        <x:v>3</x:v>
      </x:c>
      <x:c r="J43" s="18" t="str">
        <x:v>PE000018</x:v>
      </x:c>
      <x:c r="K43" s="18" t="str">
        <x:f>A43&amp;"|"&amp;B43&amp;"|"&amp;C43&amp;"|"&amp;D43&amp;"|"&amp;E43</x:f>
        <x:v>KG01|22|45951|ORD-2025-00056|23</x:v>
      </x:c>
      <x:c r="L43" s="18" t="str">
        <x:f>IF(AND(G43&gt;=0,I43&gt;=0,I43&lt;=G43),"OK","CHECK")</x:f>
        <x:v>OK</x:v>
      </x:c>
      <x:c r="M43" s="18" t="str">
        <x:f>IF(COUNTIF(ProductionReference!$A$5:$A$74,J43)=1,"OK","LINK ERROR")</x:f>
        <x:v>OK</x:v>
      </x:c>
      <x:c r="N43" s="18" t="str">
        <x:f>IF(F43=INDEX(ProductionReference!$D$5:$D$74,MATCH(J43,ProductionReference!$A$5:$A$74,0)),"OK","SHIFT MISMATCH")</x:f>
        <x:v>OK</x:v>
      </x:c>
      <x:c r="O43" s="18" t="str">
        <x:f>IF(COUNTIFS($A$5:$A$149,A43,$B$5:$B$149,B43,$C$5:$C$149,C43,$D$5:$D$149,D43,$E$5:$E$149,E43,$H$5:$H$149,H43)=1,"OK","DUPLICATE")</x:f>
        <x:v>OK</x:v>
      </x:c>
      <x:c r="P43" s="18" t="n">
        <x:f>COUNTIF($K$5:$K$149,K43)</x:f>
        <x:v>1</x:v>
      </x:c>
    </x:row>
    <x:row r="44">
      <x:c r="A44" s="13" t="str">
        <x:v>KG01</x:v>
      </x:c>
      <x:c r="B44" s="13" t="n">
        <x:v>22</x:v>
      </x:c>
      <x:c r="C44" s="20" t="n">
        <x:v>45952</x:v>
      </x:c>
      <x:c r="D44" s="13" t="str">
        <x:v>ORD-2025-00057</x:v>
      </x:c>
      <x:c r="E44" s="13" t="n">
        <x:v>9</x:v>
      </x:c>
      <x:c r="F44" s="13" t="str">
        <x:v>AM</x:v>
      </x:c>
      <x:c r="G44" s="16" t="n">
        <x:v>200</x:v>
      </x:c>
      <x:c r="H44" s="16" t="str">
        <x:v>Blister</x:v>
      </x:c>
      <x:c r="I44" s="16" t="n">
        <x:v>4</x:v>
      </x:c>
      <x:c r="J44" s="18" t="str">
        <x:v>PE000019</x:v>
      </x:c>
      <x:c r="K44" s="18" t="str">
        <x:f>A44&amp;"|"&amp;B44&amp;"|"&amp;C44&amp;"|"&amp;D44&amp;"|"&amp;E44</x:f>
        <x:v>KG01|22|45952|ORD-2025-00057|9</x:v>
      </x:c>
      <x:c r="L44" s="18" t="str">
        <x:f>IF(AND(G44&gt;=0,I44&gt;=0,I44&lt;=G44),"OK","CHECK")</x:f>
        <x:v>OK</x:v>
      </x:c>
      <x:c r="M44" s="18" t="str">
        <x:f>IF(COUNTIF(ProductionReference!$A$5:$A$74,J44)=1,"OK","LINK ERROR")</x:f>
        <x:v>OK</x:v>
      </x:c>
      <x:c r="N44" s="18" t="str">
        <x:f>IF(F44=INDEX(ProductionReference!$D$5:$D$74,MATCH(J44,ProductionReference!$A$5:$A$74,0)),"OK","SHIFT MISMATCH")</x:f>
        <x:v>OK</x:v>
      </x:c>
      <x:c r="O44" s="18" t="str">
        <x:f>IF(COUNTIFS($A$5:$A$149,A44,$B$5:$B$149,B44,$C$5:$C$149,C44,$D$5:$D$149,D44,$E$5:$E$149,E44,$H$5:$H$149,H44)=1,"OK","DUPLICATE")</x:f>
        <x:v>OK</x:v>
      </x:c>
      <x:c r="P44" s="18" t="n">
        <x:f>COUNTIF($K$5:$K$149,K44)</x:f>
        <x:v>1</x:v>
      </x:c>
    </x:row>
    <x:row r="45">
      <x:c r="A45" s="13" t="str">
        <x:v>KG01</x:v>
      </x:c>
      <x:c r="B45" s="13" t="n">
        <x:v>22</x:v>
      </x:c>
      <x:c r="C45" s="20" t="n">
        <x:v>45952</x:v>
      </x:c>
      <x:c r="D45" s="13" t="str">
        <x:v>ORD-2025-00057</x:v>
      </x:c>
      <x:c r="E45" s="13" t="n">
        <x:v>15</x:v>
      </x:c>
      <x:c r="F45" s="13" t="str">
        <x:v>AM</x:v>
      </x:c>
      <x:c r="G45" s="16" t="n">
        <x:v>150</x:v>
      </x:c>
      <x:c r="H45" s="16" t="str">
        <x:v>Crack</x:v>
      </x:c>
      <x:c r="I45" s="16" t="n">
        <x:v>3</x:v>
      </x:c>
      <x:c r="J45" s="18" t="str">
        <x:v>PE000019</x:v>
      </x:c>
      <x:c r="K45" s="18" t="str">
        <x:f>A45&amp;"|"&amp;B45&amp;"|"&amp;C45&amp;"|"&amp;D45&amp;"|"&amp;E45</x:f>
        <x:v>KG01|22|45952|ORD-2025-00057|15</x:v>
      </x:c>
      <x:c r="L45" s="18" t="str">
        <x:f>IF(AND(G45&gt;=0,I45&gt;=0,I45&lt;=G45),"OK","CHECK")</x:f>
        <x:v>OK</x:v>
      </x:c>
      <x:c r="M45" s="18" t="str">
        <x:f>IF(COUNTIF(ProductionReference!$A$5:$A$74,J45)=1,"OK","LINK ERROR")</x:f>
        <x:v>OK</x:v>
      </x:c>
      <x:c r="N45" s="18" t="str">
        <x:f>IF(F45=INDEX(ProductionReference!$D$5:$D$74,MATCH(J45,ProductionReference!$A$5:$A$74,0)),"OK","SHIFT MISMATCH")</x:f>
        <x:v>OK</x:v>
      </x:c>
      <x:c r="O45" s="18" t="str">
        <x:f>IF(COUNTIFS($A$5:$A$149,A45,$B$5:$B$149,B45,$C$5:$C$149,C45,$D$5:$D$149,D45,$E$5:$E$149,E45,$H$5:$H$149,H45)=1,"OK","DUPLICATE")</x:f>
        <x:v>OK</x:v>
      </x:c>
      <x:c r="P45" s="18" t="n">
        <x:f>COUNTIF($K$5:$K$149,K45)</x:f>
        <x:v>1</x:v>
      </x:c>
    </x:row>
    <x:row r="46">
      <x:c r="A46" s="13" t="str">
        <x:v>KG01</x:v>
      </x:c>
      <x:c r="B46" s="13" t="n">
        <x:v>22</x:v>
      </x:c>
      <x:c r="C46" s="20" t="n">
        <x:v>45952</x:v>
      </x:c>
      <x:c r="D46" s="13" t="str">
        <x:v>ORD-2025-00057</x:v>
      </x:c>
      <x:c r="E46" s="13" t="n">
        <x:v>20</x:v>
      </x:c>
      <x:c r="F46" s="13" t="str">
        <x:v>PM</x:v>
      </x:c>
      <x:c r="G46" s="16" t="n">
        <x:v>150</x:v>
      </x:c>
      <x:c r="H46" s="16" t="str">
        <x:v>Crack</x:v>
      </x:c>
      <x:c r="I46" s="16" t="n">
        <x:v>4</x:v>
      </x:c>
      <x:c r="J46" s="18" t="str">
        <x:v>PE000020</x:v>
      </x:c>
      <x:c r="K46" s="18" t="str">
        <x:f>A46&amp;"|"&amp;B46&amp;"|"&amp;C46&amp;"|"&amp;D46&amp;"|"&amp;E46</x:f>
        <x:v>KG01|22|45952|ORD-2025-00057|20</x:v>
      </x:c>
      <x:c r="L46" s="18" t="str">
        <x:f>IF(AND(G46&gt;=0,I46&gt;=0,I46&lt;=G46),"OK","CHECK")</x:f>
        <x:v>OK</x:v>
      </x:c>
      <x:c r="M46" s="18" t="str">
        <x:f>IF(COUNTIF(ProductionReference!$A$5:$A$74,J46)=1,"OK","LINK ERROR")</x:f>
        <x:v>OK</x:v>
      </x:c>
      <x:c r="N46" s="18" t="str">
        <x:f>IF(F46=INDEX(ProductionReference!$D$5:$D$74,MATCH(J46,ProductionReference!$A$5:$A$74,0)),"OK","SHIFT MISMATCH")</x:f>
        <x:v>OK</x:v>
      </x:c>
      <x:c r="O46" s="18" t="str">
        <x:f>IF(COUNTIFS($A$5:$A$149,A46,$B$5:$B$149,B46,$C$5:$C$149,C46,$D$5:$D$149,D46,$E$5:$E$149,E46,$H$5:$H$149,H46)=1,"OK","DUPLICATE")</x:f>
        <x:v>OK</x:v>
      </x:c>
      <x:c r="P46" s="18" t="n">
        <x:f>COUNTIF($K$5:$K$149,K46)</x:f>
        <x:v>1</x:v>
      </x:c>
    </x:row>
    <x:row r="47">
      <x:c r="A47" s="13" t="str">
        <x:v>KG01</x:v>
      </x:c>
      <x:c r="B47" s="13" t="n">
        <x:v>22</x:v>
      </x:c>
      <x:c r="C47" s="20" t="n">
        <x:v>45952</x:v>
      </x:c>
      <x:c r="D47" s="13" t="str">
        <x:v>ORD-2025-00057</x:v>
      </x:c>
      <x:c r="E47" s="13" t="n">
        <x:v>23</x:v>
      </x:c>
      <x:c r="F47" s="13" t="str">
        <x:v>PM</x:v>
      </x:c>
      <x:c r="G47" s="16" t="n">
        <x:v>200</x:v>
      </x:c>
      <x:c r="H47" s="16" t="str">
        <x:v>Crack</x:v>
      </x:c>
      <x:c r="I47" s="16" t="n">
        <x:v>3</x:v>
      </x:c>
      <x:c r="J47" s="18" t="str">
        <x:v>PE000020</x:v>
      </x:c>
      <x:c r="K47" s="18" t="str">
        <x:f>A47&amp;"|"&amp;B47&amp;"|"&amp;C47&amp;"|"&amp;D47&amp;"|"&amp;E47</x:f>
        <x:v>KG01|22|45952|ORD-2025-00057|23</x:v>
      </x:c>
      <x:c r="L47" s="18" t="str">
        <x:f>IF(AND(G47&gt;=0,I47&gt;=0,I47&lt;=G47),"OK","CHECK")</x:f>
        <x:v>OK</x:v>
      </x:c>
      <x:c r="M47" s="18" t="str">
        <x:f>IF(COUNTIF(ProductionReference!$A$5:$A$74,J47)=1,"OK","LINK ERROR")</x:f>
        <x:v>OK</x:v>
      </x:c>
      <x:c r="N47" s="18" t="str">
        <x:f>IF(F47=INDEX(ProductionReference!$D$5:$D$74,MATCH(J47,ProductionReference!$A$5:$A$74,0)),"OK","SHIFT MISMATCH")</x:f>
        <x:v>OK</x:v>
      </x:c>
      <x:c r="O47" s="18" t="str">
        <x:f>IF(COUNTIFS($A$5:$A$149,A47,$B$5:$B$149,B47,$C$5:$C$149,C47,$D$5:$D$149,D47,$E$5:$E$149,E47,$H$5:$H$149,H47)=1,"OK","DUPLICATE")</x:f>
        <x:v>OK</x:v>
      </x:c>
      <x:c r="P47" s="18" t="n">
        <x:f>COUNTIF($K$5:$K$149,K47)</x:f>
        <x:v>1</x:v>
      </x:c>
    </x:row>
    <x:row r="48">
      <x:c r="A48" s="13" t="str">
        <x:v>KG01</x:v>
      </x:c>
      <x:c r="B48" s="13" t="n">
        <x:v>22</x:v>
      </x:c>
      <x:c r="C48" s="20" t="n">
        <x:v>45953</x:v>
      </x:c>
      <x:c r="D48" s="13" t="str">
        <x:v>ORD-2025-00057</x:v>
      </x:c>
      <x:c r="E48" s="13" t="n">
        <x:v>9</x:v>
      </x:c>
      <x:c r="F48" s="13" t="str">
        <x:v>AM</x:v>
      </x:c>
      <x:c r="G48" s="16" t="n">
        <x:v>50</x:v>
      </x:c>
      <x:c r="H48" s="16" t="str">
        <x:v>Distortion</x:v>
      </x:c>
      <x:c r="I48" s="16" t="n">
        <x:v>2</x:v>
      </x:c>
      <x:c r="J48" s="18" t="str">
        <x:v>PE000021</x:v>
      </x:c>
      <x:c r="K48" s="18" t="str">
        <x:f>A48&amp;"|"&amp;B48&amp;"|"&amp;C48&amp;"|"&amp;D48&amp;"|"&amp;E48</x:f>
        <x:v>KG01|22|45953|ORD-2025-00057|9</x:v>
      </x:c>
      <x:c r="L48" s="18" t="str">
        <x:f>IF(AND(G48&gt;=0,I48&gt;=0,I48&lt;=G48),"OK","CHECK")</x:f>
        <x:v>OK</x:v>
      </x:c>
      <x:c r="M48" s="18" t="str">
        <x:f>IF(COUNTIF(ProductionReference!$A$5:$A$74,J48)=1,"OK","LINK ERROR")</x:f>
        <x:v>OK</x:v>
      </x:c>
      <x:c r="N48" s="18" t="str">
        <x:f>IF(F48=INDEX(ProductionReference!$D$5:$D$74,MATCH(J48,ProductionReference!$A$5:$A$74,0)),"OK","SHIFT MISMATCH")</x:f>
        <x:v>OK</x:v>
      </x:c>
      <x:c r="O48" s="18" t="str">
        <x:f>IF(COUNTIFS($A$5:$A$149,A48,$B$5:$B$149,B48,$C$5:$C$149,C48,$D$5:$D$149,D48,$E$5:$E$149,E48,$H$5:$H$149,H48)=1,"OK","DUPLICATE")</x:f>
        <x:v>OK</x:v>
      </x:c>
      <x:c r="P48" s="18" t="n">
        <x:f>COUNTIF($K$5:$K$149,K48)</x:f>
        <x:v>1</x:v>
      </x:c>
    </x:row>
    <x:row r="49">
      <x:c r="A49" s="13" t="str">
        <x:v>KG01</x:v>
      </x:c>
      <x:c r="B49" s="13" t="n">
        <x:v>22</x:v>
      </x:c>
      <x:c r="C49" s="20" t="n">
        <x:v>45953</x:v>
      </x:c>
      <x:c r="D49" s="13" t="str">
        <x:v>ORD-2025-00057</x:v>
      </x:c>
      <x:c r="E49" s="13" t="n">
        <x:v>15</x:v>
      </x:c>
      <x:c r="F49" s="13" t="str">
        <x:v>AM</x:v>
      </x:c>
      <x:c r="G49" s="16" t="n">
        <x:v>200</x:v>
      </x:c>
      <x:c r="H49" s="16" t="str">
        <x:v>Chip</x:v>
      </x:c>
      <x:c r="I49" s="16" t="n">
        <x:v>4</x:v>
      </x:c>
      <x:c r="J49" s="18" t="str">
        <x:v>PE000021</x:v>
      </x:c>
      <x:c r="K49" s="18" t="str">
        <x:f>A49&amp;"|"&amp;B49&amp;"|"&amp;C49&amp;"|"&amp;D49&amp;"|"&amp;E49</x:f>
        <x:v>KG01|22|45953|ORD-2025-00057|15</x:v>
      </x:c>
      <x:c r="L49" s="18" t="str">
        <x:f>IF(AND(G49&gt;=0,I49&gt;=0,I49&lt;=G49),"OK","CHECK")</x:f>
        <x:v>OK</x:v>
      </x:c>
      <x:c r="M49" s="18" t="str">
        <x:f>IF(COUNTIF(ProductionReference!$A$5:$A$74,J49)=1,"OK","LINK ERROR")</x:f>
        <x:v>OK</x:v>
      </x:c>
      <x:c r="N49" s="18" t="str">
        <x:f>IF(F49=INDEX(ProductionReference!$D$5:$D$74,MATCH(J49,ProductionReference!$A$5:$A$74,0)),"OK","SHIFT MISMATCH")</x:f>
        <x:v>OK</x:v>
      </x:c>
      <x:c r="O49" s="18" t="str">
        <x:f>IF(COUNTIFS($A$5:$A$149,A49,$B$5:$B$149,B49,$C$5:$C$149,C49,$D$5:$D$149,D49,$E$5:$E$149,E49,$H$5:$H$149,H49)=1,"OK","DUPLICATE")</x:f>
        <x:v>OK</x:v>
      </x:c>
      <x:c r="P49" s="18" t="n">
        <x:f>COUNTIF($K$5:$K$149,K49)</x:f>
        <x:v>1</x:v>
      </x:c>
    </x:row>
    <x:row r="50">
      <x:c r="A50" s="13" t="str">
        <x:v>KG01</x:v>
      </x:c>
      <x:c r="B50" s="13" t="n">
        <x:v>22</x:v>
      </x:c>
      <x:c r="C50" s="20" t="n">
        <x:v>45953</x:v>
      </x:c>
      <x:c r="D50" s="13" t="str">
        <x:v>ORD-2025-00057</x:v>
      </x:c>
      <x:c r="E50" s="13" t="n">
        <x:v>20</x:v>
      </x:c>
      <x:c r="F50" s="13" t="str">
        <x:v>PM</x:v>
      </x:c>
      <x:c r="G50" s="16" t="n">
        <x:v>100</x:v>
      </x:c>
      <x:c r="H50" s="16" t="str">
        <x:v>Choke Neck</x:v>
      </x:c>
      <x:c r="I50" s="16" t="n">
        <x:v>1</x:v>
      </x:c>
      <x:c r="J50" s="18" t="str">
        <x:v>PE000022</x:v>
      </x:c>
      <x:c r="K50" s="18" t="str">
        <x:f>A50&amp;"|"&amp;B50&amp;"|"&amp;C50&amp;"|"&amp;D50&amp;"|"&amp;E50</x:f>
        <x:v>KG01|22|45953|ORD-2025-00057|20</x:v>
      </x:c>
      <x:c r="L50" s="18" t="str">
        <x:f>IF(AND(G50&gt;=0,I50&gt;=0,I50&lt;=G50),"OK","CHECK")</x:f>
        <x:v>OK</x:v>
      </x:c>
      <x:c r="M50" s="18" t="str">
        <x:f>IF(COUNTIF(ProductionReference!$A$5:$A$74,J50)=1,"OK","LINK ERROR")</x:f>
        <x:v>OK</x:v>
      </x:c>
      <x:c r="N50" s="18" t="str">
        <x:f>IF(F50=INDEX(ProductionReference!$D$5:$D$74,MATCH(J50,ProductionReference!$A$5:$A$74,0)),"OK","SHIFT MISMATCH")</x:f>
        <x:v>OK</x:v>
      </x:c>
      <x:c r="O50" s="18" t="str">
        <x:f>IF(COUNTIFS($A$5:$A$149,A50,$B$5:$B$149,B50,$C$5:$C$149,C50,$D$5:$D$149,D50,$E$5:$E$149,E50,$H$5:$H$149,H50)=1,"OK","DUPLICATE")</x:f>
        <x:v>OK</x:v>
      </x:c>
      <x:c r="P50" s="18" t="n">
        <x:f>COUNTIF($K$5:$K$149,K50)</x:f>
        <x:v>1</x:v>
      </x:c>
    </x:row>
    <x:row r="51">
      <x:c r="A51" s="13" t="str">
        <x:v>KG01</x:v>
      </x:c>
      <x:c r="B51" s="13" t="n">
        <x:v>22</x:v>
      </x:c>
      <x:c r="C51" s="20" t="n">
        <x:v>45953</x:v>
      </x:c>
      <x:c r="D51" s="13" t="str">
        <x:v>ORD-2025-00057</x:v>
      </x:c>
      <x:c r="E51" s="13" t="n">
        <x:v>23</x:v>
      </x:c>
      <x:c r="F51" s="13" t="str">
        <x:v>PM</x:v>
      </x:c>
      <x:c r="G51" s="16" t="n">
        <x:v>200</x:v>
      </x:c>
      <x:c r="H51" s="16" t="str">
        <x:v>Blister</x:v>
      </x:c>
      <x:c r="I51" s="16" t="n">
        <x:v>8</x:v>
      </x:c>
      <x:c r="J51" s="18" t="str">
        <x:v>PE000022</x:v>
      </x:c>
      <x:c r="K51" s="18" t="str">
        <x:f>A51&amp;"|"&amp;B51&amp;"|"&amp;C51&amp;"|"&amp;D51&amp;"|"&amp;E51</x:f>
        <x:v>KG01|22|45953|ORD-2025-00057|23</x:v>
      </x:c>
      <x:c r="L51" s="18" t="str">
        <x:f>IF(AND(G51&gt;=0,I51&gt;=0,I51&lt;=G51),"OK","CHECK")</x:f>
        <x:v>OK</x:v>
      </x:c>
      <x:c r="M51" s="18" t="str">
        <x:f>IF(COUNTIF(ProductionReference!$A$5:$A$74,J51)=1,"OK","LINK ERROR")</x:f>
        <x:v>OK</x:v>
      </x:c>
      <x:c r="N51" s="18" t="str">
        <x:f>IF(F51=INDEX(ProductionReference!$D$5:$D$74,MATCH(J51,ProductionReference!$A$5:$A$74,0)),"OK","SHIFT MISMATCH")</x:f>
        <x:v>OK</x:v>
      </x:c>
      <x:c r="O51" s="18" t="str">
        <x:f>IF(COUNTIFS($A$5:$A$149,A51,$B$5:$B$149,B51,$C$5:$C$149,C51,$D$5:$D$149,D51,$E$5:$E$149,E51,$H$5:$H$149,H51)=1,"OK","DUPLICATE")</x:f>
        <x:v>OK</x:v>
      </x:c>
      <x:c r="P51" s="18" t="n">
        <x:f>COUNTIF($K$5:$K$149,K51)</x:f>
        <x:v>1</x:v>
      </x:c>
    </x:row>
    <x:row r="52">
      <x:c r="A52" s="13" t="str">
        <x:v>KG01</x:v>
      </x:c>
      <x:c r="B52" s="13" t="n">
        <x:v>22</x:v>
      </x:c>
      <x:c r="C52" s="20" t="n">
        <x:v>45954</x:v>
      </x:c>
      <x:c r="D52" s="13" t="str">
        <x:v>ORD-2025-00057</x:v>
      </x:c>
      <x:c r="E52" s="13" t="n">
        <x:v>9</x:v>
      </x:c>
      <x:c r="F52" s="13" t="str">
        <x:v>AM</x:v>
      </x:c>
      <x:c r="G52" s="16" t="n">
        <x:v>200</x:v>
      </x:c>
      <x:c r="H52" s="16" t="str">
        <x:v>Chip</x:v>
      </x:c>
      <x:c r="I52" s="16" t="n">
        <x:v>3</x:v>
      </x:c>
      <x:c r="J52" s="18" t="str">
        <x:v>PE000023</x:v>
      </x:c>
      <x:c r="K52" s="18" t="str">
        <x:f>A52&amp;"|"&amp;B52&amp;"|"&amp;C52&amp;"|"&amp;D52&amp;"|"&amp;E52</x:f>
        <x:v>KG01|22|45954|ORD-2025-00057|9</x:v>
      </x:c>
      <x:c r="L52" s="18" t="str">
        <x:f>IF(AND(G52&gt;=0,I52&gt;=0,I52&lt;=G52),"OK","CHECK")</x:f>
        <x:v>OK</x:v>
      </x:c>
      <x:c r="M52" s="18" t="str">
        <x:f>IF(COUNTIF(ProductionReference!$A$5:$A$74,J52)=1,"OK","LINK ERROR")</x:f>
        <x:v>OK</x:v>
      </x:c>
      <x:c r="N52" s="18" t="str">
        <x:f>IF(F52=INDEX(ProductionReference!$D$5:$D$74,MATCH(J52,ProductionReference!$A$5:$A$74,0)),"OK","SHIFT MISMATCH")</x:f>
        <x:v>OK</x:v>
      </x:c>
      <x:c r="O52" s="18" t="str">
        <x:f>IF(COUNTIFS($A$5:$A$149,A52,$B$5:$B$149,B52,$C$5:$C$149,C52,$D$5:$D$149,D52,$E$5:$E$149,E52,$H$5:$H$149,H52)=1,"OK","DUPLICATE")</x:f>
        <x:v>OK</x:v>
      </x:c>
      <x:c r="P52" s="18" t="n">
        <x:f>COUNTIF($K$5:$K$149,K52)</x:f>
        <x:v>1</x:v>
      </x:c>
    </x:row>
    <x:row r="53">
      <x:c r="A53" s="13" t="str">
        <x:v>KG01</x:v>
      </x:c>
      <x:c r="B53" s="13" t="n">
        <x:v>22</x:v>
      </x:c>
      <x:c r="C53" s="20" t="n">
        <x:v>45954</x:v>
      </x:c>
      <x:c r="D53" s="13" t="str">
        <x:v>ORD-2025-00057</x:v>
      </x:c>
      <x:c r="E53" s="13" t="n">
        <x:v>15</x:v>
      </x:c>
      <x:c r="F53" s="13" t="str">
        <x:v>AM</x:v>
      </x:c>
      <x:c r="G53" s="16" t="n">
        <x:v>150</x:v>
      </x:c>
      <x:c r="H53" s="16" t="str">
        <x:v>Chip</x:v>
      </x:c>
      <x:c r="I53" s="16" t="n">
        <x:v>3</x:v>
      </x:c>
      <x:c r="J53" s="18" t="str">
        <x:v>PE000023</x:v>
      </x:c>
      <x:c r="K53" s="18" t="str">
        <x:f>A53&amp;"|"&amp;B53&amp;"|"&amp;C53&amp;"|"&amp;D53&amp;"|"&amp;E53</x:f>
        <x:v>KG01|22|45954|ORD-2025-00057|15</x:v>
      </x:c>
      <x:c r="L53" s="18" t="str">
        <x:f>IF(AND(G53&gt;=0,I53&gt;=0,I53&lt;=G53),"OK","CHECK")</x:f>
        <x:v>OK</x:v>
      </x:c>
      <x:c r="M53" s="18" t="str">
        <x:f>IF(COUNTIF(ProductionReference!$A$5:$A$74,J53)=1,"OK","LINK ERROR")</x:f>
        <x:v>OK</x:v>
      </x:c>
      <x:c r="N53" s="18" t="str">
        <x:f>IF(F53=INDEX(ProductionReference!$D$5:$D$74,MATCH(J53,ProductionReference!$A$5:$A$74,0)),"OK","SHIFT MISMATCH")</x:f>
        <x:v>OK</x:v>
      </x:c>
      <x:c r="O53" s="18" t="str">
        <x:f>IF(COUNTIFS($A$5:$A$149,A53,$B$5:$B$149,B53,$C$5:$C$149,C53,$D$5:$D$149,D53,$E$5:$E$149,E53,$H$5:$H$149,H53)=1,"OK","DUPLICATE")</x:f>
        <x:v>OK</x:v>
      </x:c>
      <x:c r="P53" s="18" t="n">
        <x:f>COUNTIF($K$5:$K$149,K53)</x:f>
        <x:v>1</x:v>
      </x:c>
    </x:row>
    <x:row r="54">
      <x:c r="A54" s="13" t="str">
        <x:v>KG01</x:v>
      </x:c>
      <x:c r="B54" s="13" t="n">
        <x:v>22</x:v>
      </x:c>
      <x:c r="C54" s="20" t="n">
        <x:v>45954</x:v>
      </x:c>
      <x:c r="D54" s="13" t="str">
        <x:v>ORD-2025-00057</x:v>
      </x:c>
      <x:c r="E54" s="13" t="n">
        <x:v>20</x:v>
      </x:c>
      <x:c r="F54" s="13" t="str">
        <x:v>PM</x:v>
      </x:c>
      <x:c r="G54" s="16" t="n">
        <x:v>100</x:v>
      </x:c>
      <x:c r="H54" s="16" t="str">
        <x:v>Blister</x:v>
      </x:c>
      <x:c r="I54" s="16" t="n">
        <x:v>1</x:v>
      </x:c>
      <x:c r="J54" s="18" t="str">
        <x:v>PE000024</x:v>
      </x:c>
      <x:c r="K54" s="18" t="str">
        <x:f>A54&amp;"|"&amp;B54&amp;"|"&amp;C54&amp;"|"&amp;D54&amp;"|"&amp;E54</x:f>
        <x:v>KG01|22|45954|ORD-2025-00057|20</x:v>
      </x:c>
      <x:c r="L54" s="18" t="str">
        <x:f>IF(AND(G54&gt;=0,I54&gt;=0,I54&lt;=G54),"OK","CHECK")</x:f>
        <x:v>OK</x:v>
      </x:c>
      <x:c r="M54" s="18" t="str">
        <x:f>IF(COUNTIF(ProductionReference!$A$5:$A$74,J54)=1,"OK","LINK ERROR")</x:f>
        <x:v>OK</x:v>
      </x:c>
      <x:c r="N54" s="18" t="str">
        <x:f>IF(F54=INDEX(ProductionReference!$D$5:$D$74,MATCH(J54,ProductionReference!$A$5:$A$74,0)),"OK","SHIFT MISMATCH")</x:f>
        <x:v>OK</x:v>
      </x:c>
      <x:c r="O54" s="18" t="str">
        <x:f>IF(COUNTIFS($A$5:$A$149,A54,$B$5:$B$149,B54,$C$5:$C$149,C54,$D$5:$D$149,D54,$E$5:$E$149,E54,$H$5:$H$149,H54)=1,"OK","DUPLICATE")</x:f>
        <x:v>OK</x:v>
      </x:c>
      <x:c r="P54" s="18" t="n">
        <x:f>COUNTIF($K$5:$K$149,K54)</x:f>
        <x:v>1</x:v>
      </x:c>
    </x:row>
    <x:row r="55">
      <x:c r="A55" s="13" t="str">
        <x:v>KG01</x:v>
      </x:c>
      <x:c r="B55" s="13" t="n">
        <x:v>22</x:v>
      </x:c>
      <x:c r="C55" s="20" t="n">
        <x:v>45954</x:v>
      </x:c>
      <x:c r="D55" s="13" t="str">
        <x:v>ORD-2025-00057</x:v>
      </x:c>
      <x:c r="E55" s="13" t="n">
        <x:v>23</x:v>
      </x:c>
      <x:c r="F55" s="13" t="str">
        <x:v>PM</x:v>
      </x:c>
      <x:c r="G55" s="16" t="n">
        <x:v>50</x:v>
      </x:c>
      <x:c r="H55" s="16" t="str">
        <x:v>Overpress</x:v>
      </x:c>
      <x:c r="I55" s="16" t="n">
        <x:v>0</x:v>
      </x:c>
      <x:c r="J55" s="18" t="str">
        <x:v>PE000024</x:v>
      </x:c>
      <x:c r="K55" s="18" t="str">
        <x:f>A55&amp;"|"&amp;B55&amp;"|"&amp;C55&amp;"|"&amp;D55&amp;"|"&amp;E55</x:f>
        <x:v>KG01|22|45954|ORD-2025-00057|23</x:v>
      </x:c>
      <x:c r="L55" s="18" t="str">
        <x:f>IF(AND(G55&gt;=0,I55&gt;=0,I55&lt;=G55),"OK","CHECK")</x:f>
        <x:v>OK</x:v>
      </x:c>
      <x:c r="M55" s="18" t="str">
        <x:f>IF(COUNTIF(ProductionReference!$A$5:$A$74,J55)=1,"OK","LINK ERROR")</x:f>
        <x:v>OK</x:v>
      </x:c>
      <x:c r="N55" s="18" t="str">
        <x:f>IF(F55=INDEX(ProductionReference!$D$5:$D$74,MATCH(J55,ProductionReference!$A$5:$A$74,0)),"OK","SHIFT MISMATCH")</x:f>
        <x:v>OK</x:v>
      </x:c>
      <x:c r="O55" s="18" t="str">
        <x:f>IF(COUNTIFS($A$5:$A$149,A55,$B$5:$B$149,B55,$C$5:$C$149,C55,$D$5:$D$149,D55,$E$5:$E$149,E55,$H$5:$H$149,H55)=1,"OK","DUPLICATE")</x:f>
        <x:v>OK</x:v>
      </x:c>
      <x:c r="P55" s="18" t="n">
        <x:f>COUNTIF($K$5:$K$149,K55)</x:f>
        <x:v>1</x:v>
      </x:c>
    </x:row>
    <x:row r="56">
      <x:c r="A56" s="13" t="str">
        <x:v>KG01</x:v>
      </x:c>
      <x:c r="B56" s="13" t="n">
        <x:v>22</x:v>
      </x:c>
      <x:c r="C56" s="20" t="n">
        <x:v>45955</x:v>
      </x:c>
      <x:c r="D56" s="13" t="str">
        <x:v>ORD-2025-00057</x:v>
      </x:c>
      <x:c r="E56" s="13" t="n">
        <x:v>9</x:v>
      </x:c>
      <x:c r="F56" s="13" t="str">
        <x:v>AM</x:v>
      </x:c>
      <x:c r="G56" s="16" t="n">
        <x:v>150</x:v>
      </x:c>
      <x:c r="H56" s="16" t="str">
        <x:v>Overpress</x:v>
      </x:c>
      <x:c r="I56" s="16" t="n">
        <x:v>0</x:v>
      </x:c>
      <x:c r="J56" s="18" t="str">
        <x:v>PE000025</x:v>
      </x:c>
      <x:c r="K56" s="18" t="str">
        <x:f>A56&amp;"|"&amp;B56&amp;"|"&amp;C56&amp;"|"&amp;D56&amp;"|"&amp;E56</x:f>
        <x:v>KG01|22|45955|ORD-2025-00057|9</x:v>
      </x:c>
      <x:c r="L56" s="18" t="str">
        <x:f>IF(AND(G56&gt;=0,I56&gt;=0,I56&lt;=G56),"OK","CHECK")</x:f>
        <x:v>OK</x:v>
      </x:c>
      <x:c r="M56" s="18" t="str">
        <x:f>IF(COUNTIF(ProductionReference!$A$5:$A$74,J56)=1,"OK","LINK ERROR")</x:f>
        <x:v>OK</x:v>
      </x:c>
      <x:c r="N56" s="18" t="str">
        <x:f>IF(F56=INDEX(ProductionReference!$D$5:$D$74,MATCH(J56,ProductionReference!$A$5:$A$74,0)),"OK","SHIFT MISMATCH")</x:f>
        <x:v>OK</x:v>
      </x:c>
      <x:c r="O56" s="18" t="str">
        <x:f>IF(COUNTIFS($A$5:$A$149,A56,$B$5:$B$149,B56,$C$5:$C$149,C56,$D$5:$D$149,D56,$E$5:$E$149,E56,$H$5:$H$149,H56)=1,"OK","DUPLICATE")</x:f>
        <x:v>OK</x:v>
      </x:c>
      <x:c r="P56" s="18" t="n">
        <x:f>COUNTIF($K$5:$K$149,K56)</x:f>
        <x:v>1</x:v>
      </x:c>
    </x:row>
    <x:row r="57">
      <x:c r="A57" s="13" t="str">
        <x:v>KG01</x:v>
      </x:c>
      <x:c r="B57" s="13" t="n">
        <x:v>22</x:v>
      </x:c>
      <x:c r="C57" s="20" t="n">
        <x:v>45955</x:v>
      </x:c>
      <x:c r="D57" s="13" t="str">
        <x:v>ORD-2025-00057</x:v>
      </x:c>
      <x:c r="E57" s="13" t="n">
        <x:v>15</x:v>
      </x:c>
      <x:c r="F57" s="13" t="str">
        <x:v>AM</x:v>
      </x:c>
      <x:c r="G57" s="16" t="n">
        <x:v>100</x:v>
      </x:c>
      <x:c r="H57" s="16" t="str">
        <x:v>Chip</x:v>
      </x:c>
      <x:c r="I57" s="16" t="n">
        <x:v>2</x:v>
      </x:c>
      <x:c r="J57" s="18" t="str">
        <x:v>PE000025</x:v>
      </x:c>
      <x:c r="K57" s="18" t="str">
        <x:f>A57&amp;"|"&amp;B57&amp;"|"&amp;C57&amp;"|"&amp;D57&amp;"|"&amp;E57</x:f>
        <x:v>KG01|22|45955|ORD-2025-00057|15</x:v>
      </x:c>
      <x:c r="L57" s="18" t="str">
        <x:f>IF(AND(G57&gt;=0,I57&gt;=0,I57&lt;=G57),"OK","CHECK")</x:f>
        <x:v>OK</x:v>
      </x:c>
      <x:c r="M57" s="18" t="str">
        <x:f>IF(COUNTIF(ProductionReference!$A$5:$A$74,J57)=1,"OK","LINK ERROR")</x:f>
        <x:v>OK</x:v>
      </x:c>
      <x:c r="N57" s="18" t="str">
        <x:f>IF(F57=INDEX(ProductionReference!$D$5:$D$74,MATCH(J57,ProductionReference!$A$5:$A$74,0)),"OK","SHIFT MISMATCH")</x:f>
        <x:v>OK</x:v>
      </x:c>
      <x:c r="O57" s="18" t="str">
        <x:f>IF(COUNTIFS($A$5:$A$149,A57,$B$5:$B$149,B57,$C$5:$C$149,C57,$D$5:$D$149,D57,$E$5:$E$149,E57,$H$5:$H$149,H57)=1,"OK","DUPLICATE")</x:f>
        <x:v>OK</x:v>
      </x:c>
      <x:c r="P57" s="18" t="n">
        <x:f>COUNTIF($K$5:$K$149,K57)</x:f>
        <x:v>1</x:v>
      </x:c>
    </x:row>
    <x:row r="58">
      <x:c r="A58" s="13" t="str">
        <x:v>KG01</x:v>
      </x:c>
      <x:c r="B58" s="13" t="n">
        <x:v>22</x:v>
      </x:c>
      <x:c r="C58" s="20" t="n">
        <x:v>45955</x:v>
      </x:c>
      <x:c r="D58" s="13" t="str">
        <x:v>ORD-2025-00057</x:v>
      </x:c>
      <x:c r="E58" s="13" t="n">
        <x:v>20</x:v>
      </x:c>
      <x:c r="F58" s="13" t="str">
        <x:v>PM</x:v>
      </x:c>
      <x:c r="G58" s="16" t="n">
        <x:v>100</x:v>
      </x:c>
      <x:c r="H58" s="16" t="str">
        <x:v>Thin Wall</x:v>
      </x:c>
      <x:c r="I58" s="16" t="n">
        <x:v>0</x:v>
      </x:c>
      <x:c r="J58" s="18" t="str">
        <x:v>PE000026</x:v>
      </x:c>
      <x:c r="K58" s="18" t="str">
        <x:f>A58&amp;"|"&amp;B58&amp;"|"&amp;C58&amp;"|"&amp;D58&amp;"|"&amp;E58</x:f>
        <x:v>KG01|22|45955|ORD-2025-00057|20</x:v>
      </x:c>
      <x:c r="L58" s="18" t="str">
        <x:f>IF(AND(G58&gt;=0,I58&gt;=0,I58&lt;=G58),"OK","CHECK")</x:f>
        <x:v>OK</x:v>
      </x:c>
      <x:c r="M58" s="18" t="str">
        <x:f>IF(COUNTIF(ProductionReference!$A$5:$A$74,J58)=1,"OK","LINK ERROR")</x:f>
        <x:v>OK</x:v>
      </x:c>
      <x:c r="N58" s="18" t="str">
        <x:f>IF(F58=INDEX(ProductionReference!$D$5:$D$74,MATCH(J58,ProductionReference!$A$5:$A$74,0)),"OK","SHIFT MISMATCH")</x:f>
        <x:v>OK</x:v>
      </x:c>
      <x:c r="O58" s="18" t="str">
        <x:f>IF(COUNTIFS($A$5:$A$149,A58,$B$5:$B$149,B58,$C$5:$C$149,C58,$D$5:$D$149,D58,$E$5:$E$149,E58,$H$5:$H$149,H58)=1,"OK","DUPLICATE")</x:f>
        <x:v>OK</x:v>
      </x:c>
      <x:c r="P58" s="18" t="n">
        <x:f>COUNTIF($K$5:$K$149,K58)</x:f>
        <x:v>1</x:v>
      </x:c>
    </x:row>
    <x:row r="59">
      <x:c r="A59" s="13" t="str">
        <x:v>KG01</x:v>
      </x:c>
      <x:c r="B59" s="13" t="n">
        <x:v>22</x:v>
      </x:c>
      <x:c r="C59" s="20" t="n">
        <x:v>45955</x:v>
      </x:c>
      <x:c r="D59" s="13" t="str">
        <x:v>ORD-2025-00057</x:v>
      </x:c>
      <x:c r="E59" s="13" t="n">
        <x:v>23</x:v>
      </x:c>
      <x:c r="F59" s="13" t="str">
        <x:v>PM</x:v>
      </x:c>
      <x:c r="G59" s="16" t="n">
        <x:v>200</x:v>
      </x:c>
      <x:c r="H59" s="16" t="str">
        <x:v>Stone</x:v>
      </x:c>
      <x:c r="I59" s="16" t="n">
        <x:v>6</x:v>
      </x:c>
      <x:c r="J59" s="18" t="str">
        <x:v>PE000026</x:v>
      </x:c>
      <x:c r="K59" s="18" t="str">
        <x:f>A59&amp;"|"&amp;B59&amp;"|"&amp;C59&amp;"|"&amp;D59&amp;"|"&amp;E59</x:f>
        <x:v>KG01|22|45955|ORD-2025-00057|23</x:v>
      </x:c>
      <x:c r="L59" s="18" t="str">
        <x:f>IF(AND(G59&gt;=0,I59&gt;=0,I59&lt;=G59),"OK","CHECK")</x:f>
        <x:v>OK</x:v>
      </x:c>
      <x:c r="M59" s="18" t="str">
        <x:f>IF(COUNTIF(ProductionReference!$A$5:$A$74,J59)=1,"OK","LINK ERROR")</x:f>
        <x:v>OK</x:v>
      </x:c>
      <x:c r="N59" s="18" t="str">
        <x:f>IF(F59=INDEX(ProductionReference!$D$5:$D$74,MATCH(J59,ProductionReference!$A$5:$A$74,0)),"OK","SHIFT MISMATCH")</x:f>
        <x:v>OK</x:v>
      </x:c>
      <x:c r="O59" s="18" t="str">
        <x:f>IF(COUNTIFS($A$5:$A$149,A59,$B$5:$B$149,B59,$C$5:$C$149,C59,$D$5:$D$149,D59,$E$5:$E$149,E59,$H$5:$H$149,H59)=1,"OK","DUPLICATE")</x:f>
        <x:v>OK</x:v>
      </x:c>
      <x:c r="P59" s="18" t="n">
        <x:f>COUNTIF($K$5:$K$149,K59)</x:f>
        <x:v>1</x:v>
      </x:c>
    </x:row>
    <x:row r="60">
      <x:c r="A60" s="13" t="str">
        <x:v>KG01</x:v>
      </x:c>
      <x:c r="B60" s="13" t="n">
        <x:v>22</x:v>
      </x:c>
      <x:c r="C60" s="20" t="n">
        <x:v>45956</x:v>
      </x:c>
      <x:c r="D60" s="13" t="str">
        <x:v>ORD-2025-00058</x:v>
      </x:c>
      <x:c r="E60" s="13" t="n">
        <x:v>7</x:v>
      </x:c>
      <x:c r="F60" s="13" t="str">
        <x:v>AM</x:v>
      </x:c>
      <x:c r="G60" s="16" t="n">
        <x:v>200</x:v>
      </x:c>
      <x:c r="H60" s="16" t="str">
        <x:v>Distortion</x:v>
      </x:c>
      <x:c r="I60" s="16" t="n">
        <x:v>14</x:v>
      </x:c>
      <x:c r="J60" s="18" t="str">
        <x:v>PE000027</x:v>
      </x:c>
      <x:c r="K60" s="18" t="str">
        <x:f>A60&amp;"|"&amp;B60&amp;"|"&amp;C60&amp;"|"&amp;D60&amp;"|"&amp;E60</x:f>
        <x:v>KG01|22|45956|ORD-2025-00058|7</x:v>
      </x:c>
      <x:c r="L60" s="18" t="str">
        <x:f>IF(AND(G60&gt;=0,I60&gt;=0,I60&lt;=G60),"OK","CHECK")</x:f>
        <x:v>OK</x:v>
      </x:c>
      <x:c r="M60" s="18" t="str">
        <x:f>IF(COUNTIF(ProductionReference!$A$5:$A$74,J60)=1,"OK","LINK ERROR")</x:f>
        <x:v>OK</x:v>
      </x:c>
      <x:c r="N60" s="18" t="str">
        <x:f>IF(F60=INDEX(ProductionReference!$D$5:$D$74,MATCH(J60,ProductionReference!$A$5:$A$74,0)),"OK","SHIFT MISMATCH")</x:f>
        <x:v>OK</x:v>
      </x:c>
      <x:c r="O60" s="18" t="str">
        <x:f>IF(COUNTIFS($A$5:$A$149,A60,$B$5:$B$149,B60,$C$5:$C$149,C60,$D$5:$D$149,D60,$E$5:$E$149,E60,$H$5:$H$149,H60)=1,"OK","DUPLICATE")</x:f>
        <x:v>OK</x:v>
      </x:c>
      <x:c r="P60" s="18" t="n">
        <x:f>COUNTIF($K$5:$K$149,K60)</x:f>
        <x:v>1</x:v>
      </x:c>
    </x:row>
    <x:row r="61">
      <x:c r="A61" s="13" t="str">
        <x:v>KG01</x:v>
      </x:c>
      <x:c r="B61" s="13" t="n">
        <x:v>22</x:v>
      </x:c>
      <x:c r="C61" s="20" t="n">
        <x:v>45956</x:v>
      </x:c>
      <x:c r="D61" s="13" t="str">
        <x:v>ORD-2025-00058</x:v>
      </x:c>
      <x:c r="E61" s="13" t="n">
        <x:v>12</x:v>
      </x:c>
      <x:c r="F61" s="13" t="str">
        <x:v>AM</x:v>
      </x:c>
      <x:c r="G61" s="16" t="n">
        <x:v>100</x:v>
      </x:c>
      <x:c r="H61" s="16" t="str">
        <x:v>Blister</x:v>
      </x:c>
      <x:c r="I61" s="16" t="n">
        <x:v>12</x:v>
      </x:c>
      <x:c r="J61" s="18" t="str">
        <x:v>PE000027</x:v>
      </x:c>
      <x:c r="K61" s="18" t="str">
        <x:f>A61&amp;"|"&amp;B61&amp;"|"&amp;C61&amp;"|"&amp;D61&amp;"|"&amp;E61</x:f>
        <x:v>KG01|22|45956|ORD-2025-00058|12</x:v>
      </x:c>
      <x:c r="L61" s="18" t="str">
        <x:f>IF(AND(G61&gt;=0,I61&gt;=0,I61&lt;=G61),"OK","CHECK")</x:f>
        <x:v>OK</x:v>
      </x:c>
      <x:c r="M61" s="18" t="str">
        <x:f>IF(COUNTIF(ProductionReference!$A$5:$A$74,J61)=1,"OK","LINK ERROR")</x:f>
        <x:v>OK</x:v>
      </x:c>
      <x:c r="N61" s="18" t="str">
        <x:f>IF(F61=INDEX(ProductionReference!$D$5:$D$74,MATCH(J61,ProductionReference!$A$5:$A$74,0)),"OK","SHIFT MISMATCH")</x:f>
        <x:v>OK</x:v>
      </x:c>
      <x:c r="O61" s="18" t="str">
        <x:f>IF(COUNTIFS($A$5:$A$149,A61,$B$5:$B$149,B61,$C$5:$C$149,C61,$D$5:$D$149,D61,$E$5:$E$149,E61,$H$5:$H$149,H61)=1,"OK","DUPLICATE")</x:f>
        <x:v>OK</x:v>
      </x:c>
      <x:c r="P61" s="18" t="n">
        <x:f>COUNTIF($K$5:$K$149,K61)</x:f>
        <x:v>1</x:v>
      </x:c>
    </x:row>
    <x:row r="62">
      <x:c r="A62" s="13" t="str">
        <x:v>KG01</x:v>
      </x:c>
      <x:c r="B62" s="13" t="n">
        <x:v>22</x:v>
      </x:c>
      <x:c r="C62" s="20" t="n">
        <x:v>45956</x:v>
      </x:c>
      <x:c r="D62" s="13" t="str">
        <x:v>ORD-2025-00058</x:v>
      </x:c>
      <x:c r="E62" s="13" t="n">
        <x:v>16</x:v>
      </x:c>
      <x:c r="F62" s="13" t="str">
        <x:v>AM</x:v>
      </x:c>
      <x:c r="G62" s="16" t="n">
        <x:v>50</x:v>
      </x:c>
      <x:c r="H62" s="16" t="str">
        <x:v>Overpress</x:v>
      </x:c>
      <x:c r="I62" s="16" t="n">
        <x:v>1</x:v>
      </x:c>
      <x:c r="J62" s="18" t="str">
        <x:v>PE000027</x:v>
      </x:c>
      <x:c r="K62" s="18" t="str">
        <x:f>A62&amp;"|"&amp;B62&amp;"|"&amp;C62&amp;"|"&amp;D62&amp;"|"&amp;E62</x:f>
        <x:v>KG01|22|45956|ORD-2025-00058|16</x:v>
      </x:c>
      <x:c r="L62" s="18" t="str">
        <x:f>IF(AND(G62&gt;=0,I62&gt;=0,I62&lt;=G62),"OK","CHECK")</x:f>
        <x:v>OK</x:v>
      </x:c>
      <x:c r="M62" s="18" t="str">
        <x:f>IF(COUNTIF(ProductionReference!$A$5:$A$74,J62)=1,"OK","LINK ERROR")</x:f>
        <x:v>OK</x:v>
      </x:c>
      <x:c r="N62" s="18" t="str">
        <x:f>IF(F62=INDEX(ProductionReference!$D$5:$D$74,MATCH(J62,ProductionReference!$A$5:$A$74,0)),"OK","SHIFT MISMATCH")</x:f>
        <x:v>OK</x:v>
      </x:c>
      <x:c r="O62" s="18" t="str">
        <x:f>IF(COUNTIFS($A$5:$A$149,A62,$B$5:$B$149,B62,$C$5:$C$149,C62,$D$5:$D$149,D62,$E$5:$E$149,E62,$H$5:$H$149,H62)=1,"OK","DUPLICATE")</x:f>
        <x:v>OK</x:v>
      </x:c>
      <x:c r="P62" s="18" t="n">
        <x:f>COUNTIF($K$5:$K$149,K62)</x:f>
        <x:v>1</x:v>
      </x:c>
    </x:row>
    <x:row r="63">
      <x:c r="A63" s="13" t="str">
        <x:v>KG01</x:v>
      </x:c>
      <x:c r="B63" s="13" t="n">
        <x:v>22</x:v>
      </x:c>
      <x:c r="C63" s="20" t="n">
        <x:v>45956</x:v>
      </x:c>
      <x:c r="D63" s="13" t="str">
        <x:v>ORD-2025-00058</x:v>
      </x:c>
      <x:c r="E63" s="13" t="n">
        <x:v>20</x:v>
      </x:c>
      <x:c r="F63" s="13" t="str">
        <x:v>PM</x:v>
      </x:c>
      <x:c r="G63" s="16" t="n">
        <x:v>100</x:v>
      </x:c>
      <x:c r="H63" s="16" t="str">
        <x:v>Chip</x:v>
      </x:c>
      <x:c r="I63" s="16" t="n">
        <x:v>1</x:v>
      </x:c>
      <x:c r="J63" s="18" t="str">
        <x:v>PE000028</x:v>
      </x:c>
      <x:c r="K63" s="18" t="str">
        <x:f>A63&amp;"|"&amp;B63&amp;"|"&amp;C63&amp;"|"&amp;D63&amp;"|"&amp;E63</x:f>
        <x:v>KG01|22|45956|ORD-2025-00058|20</x:v>
      </x:c>
      <x:c r="L63" s="18" t="str">
        <x:f>IF(AND(G63&gt;=0,I63&gt;=0,I63&lt;=G63),"OK","CHECK")</x:f>
        <x:v>OK</x:v>
      </x:c>
      <x:c r="M63" s="18" t="str">
        <x:f>IF(COUNTIF(ProductionReference!$A$5:$A$74,J63)=1,"OK","LINK ERROR")</x:f>
        <x:v>OK</x:v>
      </x:c>
      <x:c r="N63" s="18" t="str">
        <x:f>IF(F63=INDEX(ProductionReference!$D$5:$D$74,MATCH(J63,ProductionReference!$A$5:$A$74,0)),"OK","SHIFT MISMATCH")</x:f>
        <x:v>OK</x:v>
      </x:c>
      <x:c r="O63" s="18" t="str">
        <x:f>IF(COUNTIFS($A$5:$A$149,A63,$B$5:$B$149,B63,$C$5:$C$149,C63,$D$5:$D$149,D63,$E$5:$E$149,E63,$H$5:$H$149,H63)=1,"OK","DUPLICATE")</x:f>
        <x:v>OK</x:v>
      </x:c>
      <x:c r="P63" s="18" t="n">
        <x:f>COUNTIF($K$5:$K$149,K63)</x:f>
        <x:v>1</x:v>
      </x:c>
    </x:row>
    <x:row r="64">
      <x:c r="A64" s="13" t="str">
        <x:v>KG01</x:v>
      </x:c>
      <x:c r="B64" s="13" t="n">
        <x:v>22</x:v>
      </x:c>
      <x:c r="C64" s="20" t="n">
        <x:v>45956</x:v>
      </x:c>
      <x:c r="D64" s="13" t="str">
        <x:v>ORD-2025-00058</x:v>
      </x:c>
      <x:c r="E64" s="13" t="n">
        <x:v>23</x:v>
      </x:c>
      <x:c r="F64" s="13" t="str">
        <x:v>PM</x:v>
      </x:c>
      <x:c r="G64" s="16" t="n">
        <x:v>50</x:v>
      </x:c>
      <x:c r="H64" s="16" t="str">
        <x:v>Overpress</x:v>
      </x:c>
      <x:c r="I64" s="16" t="n">
        <x:v>0</x:v>
      </x:c>
      <x:c r="J64" s="18" t="str">
        <x:v>PE000028</x:v>
      </x:c>
      <x:c r="K64" s="18" t="str">
        <x:f>A64&amp;"|"&amp;B64&amp;"|"&amp;C64&amp;"|"&amp;D64&amp;"|"&amp;E64</x:f>
        <x:v>KG01|22|45956|ORD-2025-00058|23</x:v>
      </x:c>
      <x:c r="L64" s="18" t="str">
        <x:f>IF(AND(G64&gt;=0,I64&gt;=0,I64&lt;=G64),"OK","CHECK")</x:f>
        <x:v>OK</x:v>
      </x:c>
      <x:c r="M64" s="18" t="str">
        <x:f>IF(COUNTIF(ProductionReference!$A$5:$A$74,J64)=1,"OK","LINK ERROR")</x:f>
        <x:v>OK</x:v>
      </x:c>
      <x:c r="N64" s="18" t="str">
        <x:f>IF(F64=INDEX(ProductionReference!$D$5:$D$74,MATCH(J64,ProductionReference!$A$5:$A$74,0)),"OK","SHIFT MISMATCH")</x:f>
        <x:v>OK</x:v>
      </x:c>
      <x:c r="O64" s="18" t="str">
        <x:f>IF(COUNTIFS($A$5:$A$149,A64,$B$5:$B$149,B64,$C$5:$C$149,C64,$D$5:$D$149,D64,$E$5:$E$149,E64,$H$5:$H$149,H64)=1,"OK","DUPLICATE")</x:f>
        <x:v>OK</x:v>
      </x:c>
      <x:c r="P64" s="18" t="n">
        <x:f>COUNTIF($K$5:$K$149,K64)</x:f>
        <x:v>1</x:v>
      </x:c>
    </x:row>
    <x:row r="65">
      <x:c r="A65" s="13" t="str">
        <x:v>KG01</x:v>
      </x:c>
      <x:c r="B65" s="13" t="n">
        <x:v>23</x:v>
      </x:c>
      <x:c r="C65" s="20" t="n">
        <x:v>45950</x:v>
      </x:c>
      <x:c r="D65" s="13" t="str">
        <x:v>ORD-2025-00092</x:v>
      </x:c>
      <x:c r="E65" s="13" t="n">
        <x:v>9</x:v>
      </x:c>
      <x:c r="F65" s="13" t="str">
        <x:v>AM</x:v>
      </x:c>
      <x:c r="G65" s="16" t="n">
        <x:v>100</x:v>
      </x:c>
      <x:c r="H65" s="16" t="str">
        <x:v>Overpress</x:v>
      </x:c>
      <x:c r="I65" s="16" t="n">
        <x:v>1</x:v>
      </x:c>
      <x:c r="J65" s="18" t="str">
        <x:v>PE000029</x:v>
      </x:c>
      <x:c r="K65" s="18" t="str">
        <x:f>A65&amp;"|"&amp;B65&amp;"|"&amp;C65&amp;"|"&amp;D65&amp;"|"&amp;E65</x:f>
        <x:v>KG01|23|45950|ORD-2025-00092|9</x:v>
      </x:c>
      <x:c r="L65" s="18" t="str">
        <x:f>IF(AND(G65&gt;=0,I65&gt;=0,I65&lt;=G65),"OK","CHECK")</x:f>
        <x:v>OK</x:v>
      </x:c>
      <x:c r="M65" s="18" t="str">
        <x:f>IF(COUNTIF(ProductionReference!$A$5:$A$74,J65)=1,"OK","LINK ERROR")</x:f>
        <x:v>OK</x:v>
      </x:c>
      <x:c r="N65" s="18" t="str">
        <x:f>IF(F65=INDEX(ProductionReference!$D$5:$D$74,MATCH(J65,ProductionReference!$A$5:$A$74,0)),"OK","SHIFT MISMATCH")</x:f>
        <x:v>OK</x:v>
      </x:c>
      <x:c r="O65" s="18" t="str">
        <x:f>IF(COUNTIFS($A$5:$A$149,A65,$B$5:$B$149,B65,$C$5:$C$149,C65,$D$5:$D$149,D65,$E$5:$E$149,E65,$H$5:$H$149,H65)=1,"OK","DUPLICATE")</x:f>
        <x:v>OK</x:v>
      </x:c>
      <x:c r="P65" s="18" t="n">
        <x:f>COUNTIF($K$5:$K$149,K65)</x:f>
        <x:v>1</x:v>
      </x:c>
    </x:row>
    <x:row r="66">
      <x:c r="A66" s="13" t="str">
        <x:v>KG01</x:v>
      </x:c>
      <x:c r="B66" s="13" t="n">
        <x:v>23</x:v>
      </x:c>
      <x:c r="C66" s="20" t="n">
        <x:v>45950</x:v>
      </x:c>
      <x:c r="D66" s="13" t="str">
        <x:v>ORD-2025-00092</x:v>
      </x:c>
      <x:c r="E66" s="13" t="n">
        <x:v>15</x:v>
      </x:c>
      <x:c r="F66" s="13" t="str">
        <x:v>AM</x:v>
      </x:c>
      <x:c r="G66" s="16" t="n">
        <x:v>150</x:v>
      </x:c>
      <x:c r="H66" s="16" t="str">
        <x:v>Thin Wall</x:v>
      </x:c>
      <x:c r="I66" s="16" t="n">
        <x:v>10</x:v>
      </x:c>
      <x:c r="J66" s="18" t="str">
        <x:v>PE000029</x:v>
      </x:c>
      <x:c r="K66" s="18" t="str">
        <x:f>A66&amp;"|"&amp;B66&amp;"|"&amp;C66&amp;"|"&amp;D66&amp;"|"&amp;E66</x:f>
        <x:v>KG01|23|45950|ORD-2025-00092|15</x:v>
      </x:c>
      <x:c r="L66" s="18" t="str">
        <x:f>IF(AND(G66&gt;=0,I66&gt;=0,I66&lt;=G66),"OK","CHECK")</x:f>
        <x:v>OK</x:v>
      </x:c>
      <x:c r="M66" s="18" t="str">
        <x:f>IF(COUNTIF(ProductionReference!$A$5:$A$74,J66)=1,"OK","LINK ERROR")</x:f>
        <x:v>OK</x:v>
      </x:c>
      <x:c r="N66" s="18" t="str">
        <x:f>IF(F66=INDEX(ProductionReference!$D$5:$D$74,MATCH(J66,ProductionReference!$A$5:$A$74,0)),"OK","SHIFT MISMATCH")</x:f>
        <x:v>OK</x:v>
      </x:c>
      <x:c r="O66" s="18" t="str">
        <x:f>IF(COUNTIFS($A$5:$A$149,A66,$B$5:$B$149,B66,$C$5:$C$149,C66,$D$5:$D$149,D66,$E$5:$E$149,E66,$H$5:$H$149,H66)=1,"OK","DUPLICATE")</x:f>
        <x:v>OK</x:v>
      </x:c>
      <x:c r="P66" s="18" t="n">
        <x:f>COUNTIF($K$5:$K$149,K66)</x:f>
        <x:v>1</x:v>
      </x:c>
    </x:row>
    <x:row r="67">
      <x:c r="A67" s="13" t="str">
        <x:v>KG01</x:v>
      </x:c>
      <x:c r="B67" s="13" t="n">
        <x:v>23</x:v>
      </x:c>
      <x:c r="C67" s="20" t="n">
        <x:v>45950</x:v>
      </x:c>
      <x:c r="D67" s="13" t="str">
        <x:v>ORD-2025-00092</x:v>
      </x:c>
      <x:c r="E67" s="13" t="n">
        <x:v>20</x:v>
      </x:c>
      <x:c r="F67" s="13" t="str">
        <x:v>PM</x:v>
      </x:c>
      <x:c r="G67" s="16" t="n">
        <x:v>50</x:v>
      </x:c>
      <x:c r="H67" s="16" t="str">
        <x:v>Choke Neck</x:v>
      </x:c>
      <x:c r="I67" s="16" t="n">
        <x:v>0</x:v>
      </x:c>
      <x:c r="J67" s="18" t="str">
        <x:v>PE000030</x:v>
      </x:c>
      <x:c r="K67" s="18" t="str">
        <x:f>A67&amp;"|"&amp;B67&amp;"|"&amp;C67&amp;"|"&amp;D67&amp;"|"&amp;E67</x:f>
        <x:v>KG01|23|45950|ORD-2025-00092|20</x:v>
      </x:c>
      <x:c r="L67" s="18" t="str">
        <x:f>IF(AND(G67&gt;=0,I67&gt;=0,I67&lt;=G67),"OK","CHECK")</x:f>
        <x:v>OK</x:v>
      </x:c>
      <x:c r="M67" s="18" t="str">
        <x:f>IF(COUNTIF(ProductionReference!$A$5:$A$74,J67)=1,"OK","LINK ERROR")</x:f>
        <x:v>OK</x:v>
      </x:c>
      <x:c r="N67" s="18" t="str">
        <x:f>IF(F67=INDEX(ProductionReference!$D$5:$D$74,MATCH(J67,ProductionReference!$A$5:$A$74,0)),"OK","SHIFT MISMATCH")</x:f>
        <x:v>OK</x:v>
      </x:c>
      <x:c r="O67" s="18" t="str">
        <x:f>IF(COUNTIFS($A$5:$A$149,A67,$B$5:$B$149,B67,$C$5:$C$149,C67,$D$5:$D$149,D67,$E$5:$E$149,E67,$H$5:$H$149,H67)=1,"OK","DUPLICATE")</x:f>
        <x:v>OK</x:v>
      </x:c>
      <x:c r="P67" s="18" t="n">
        <x:f>COUNTIF($K$5:$K$149,K67)</x:f>
        <x:v>1</x:v>
      </x:c>
    </x:row>
    <x:row r="68">
      <x:c r="A68" s="13" t="str">
        <x:v>KG01</x:v>
      </x:c>
      <x:c r="B68" s="13" t="n">
        <x:v>23</x:v>
      </x:c>
      <x:c r="C68" s="20" t="n">
        <x:v>45950</x:v>
      </x:c>
      <x:c r="D68" s="13" t="str">
        <x:v>ORD-2025-00092</x:v>
      </x:c>
      <x:c r="E68" s="13" t="n">
        <x:v>23</x:v>
      </x:c>
      <x:c r="F68" s="13" t="str">
        <x:v>PM</x:v>
      </x:c>
      <x:c r="G68" s="16" t="n">
        <x:v>200</x:v>
      </x:c>
      <x:c r="H68" s="16" t="str">
        <x:v>Bird Swing</x:v>
      </x:c>
      <x:c r="I68" s="16" t="n">
        <x:v>10</x:v>
      </x:c>
      <x:c r="J68" s="18" t="str">
        <x:v>PE000030</x:v>
      </x:c>
      <x:c r="K68" s="18" t="str">
        <x:f>A68&amp;"|"&amp;B68&amp;"|"&amp;C68&amp;"|"&amp;D68&amp;"|"&amp;E68</x:f>
        <x:v>KG01|23|45950|ORD-2025-00092|23</x:v>
      </x:c>
      <x:c r="L68" s="18" t="str">
        <x:f>IF(AND(G68&gt;=0,I68&gt;=0,I68&lt;=G68),"OK","CHECK")</x:f>
        <x:v>OK</x:v>
      </x:c>
      <x:c r="M68" s="18" t="str">
        <x:f>IF(COUNTIF(ProductionReference!$A$5:$A$74,J68)=1,"OK","LINK ERROR")</x:f>
        <x:v>OK</x:v>
      </x:c>
      <x:c r="N68" s="18" t="str">
        <x:f>IF(F68=INDEX(ProductionReference!$D$5:$D$74,MATCH(J68,ProductionReference!$A$5:$A$74,0)),"OK","SHIFT MISMATCH")</x:f>
        <x:v>OK</x:v>
      </x:c>
      <x:c r="O68" s="18" t="str">
        <x:f>IF(COUNTIFS($A$5:$A$149,A68,$B$5:$B$149,B68,$C$5:$C$149,C68,$D$5:$D$149,D68,$E$5:$E$149,E68,$H$5:$H$149,H68)=1,"OK","DUPLICATE")</x:f>
        <x:v>OK</x:v>
      </x:c>
      <x:c r="P68" s="18" t="n">
        <x:f>COUNTIF($K$5:$K$149,K68)</x:f>
        <x:v>1</x:v>
      </x:c>
    </x:row>
    <x:row r="69">
      <x:c r="A69" s="13" t="str">
        <x:v>KG01</x:v>
      </x:c>
      <x:c r="B69" s="13" t="n">
        <x:v>23</x:v>
      </x:c>
      <x:c r="C69" s="20" t="n">
        <x:v>45951</x:v>
      </x:c>
      <x:c r="D69" s="13" t="str">
        <x:v>ORD-2025-00092</x:v>
      </x:c>
      <x:c r="E69" s="13" t="n">
        <x:v>9</x:v>
      </x:c>
      <x:c r="F69" s="13" t="str">
        <x:v>AM</x:v>
      </x:c>
      <x:c r="G69" s="16" t="n">
        <x:v>100</x:v>
      </x:c>
      <x:c r="H69" s="16" t="str">
        <x:v>Chip</x:v>
      </x:c>
      <x:c r="I69" s="16" t="n">
        <x:v>2</x:v>
      </x:c>
      <x:c r="J69" s="18" t="str">
        <x:v>PE000031</x:v>
      </x:c>
      <x:c r="K69" s="18" t="str">
        <x:f>A69&amp;"|"&amp;B69&amp;"|"&amp;C69&amp;"|"&amp;D69&amp;"|"&amp;E69</x:f>
        <x:v>KG01|23|45951|ORD-2025-00092|9</x:v>
      </x:c>
      <x:c r="L69" s="18" t="str">
        <x:f>IF(AND(G69&gt;=0,I69&gt;=0,I69&lt;=G69),"OK","CHECK")</x:f>
        <x:v>OK</x:v>
      </x:c>
      <x:c r="M69" s="18" t="str">
        <x:f>IF(COUNTIF(ProductionReference!$A$5:$A$74,J69)=1,"OK","LINK ERROR")</x:f>
        <x:v>OK</x:v>
      </x:c>
      <x:c r="N69" s="18" t="str">
        <x:f>IF(F69=INDEX(ProductionReference!$D$5:$D$74,MATCH(J69,ProductionReference!$A$5:$A$74,0)),"OK","SHIFT MISMATCH")</x:f>
        <x:v>OK</x:v>
      </x:c>
      <x:c r="O69" s="18" t="str">
        <x:f>IF(COUNTIFS($A$5:$A$149,A69,$B$5:$B$149,B69,$C$5:$C$149,C69,$D$5:$D$149,D69,$E$5:$E$149,E69,$H$5:$H$149,H69)=1,"OK","DUPLICATE")</x:f>
        <x:v>OK</x:v>
      </x:c>
      <x:c r="P69" s="18" t="n">
        <x:f>COUNTIF($K$5:$K$149,K69)</x:f>
        <x:v>1</x:v>
      </x:c>
    </x:row>
    <x:row r="70">
      <x:c r="A70" s="13" t="str">
        <x:v>KG01</x:v>
      </x:c>
      <x:c r="B70" s="13" t="n">
        <x:v>23</x:v>
      </x:c>
      <x:c r="C70" s="20" t="n">
        <x:v>45951</x:v>
      </x:c>
      <x:c r="D70" s="13" t="str">
        <x:v>ORD-2025-00092</x:v>
      </x:c>
      <x:c r="E70" s="13" t="n">
        <x:v>15</x:v>
      </x:c>
      <x:c r="F70" s="13" t="str">
        <x:v>AM</x:v>
      </x:c>
      <x:c r="G70" s="16" t="n">
        <x:v>50</x:v>
      </x:c>
      <x:c r="H70" s="16" t="str">
        <x:v>Distortion</x:v>
      </x:c>
      <x:c r="I70" s="16" t="n">
        <x:v>0</x:v>
      </x:c>
      <x:c r="J70" s="18" t="str">
        <x:v>PE000031</x:v>
      </x:c>
      <x:c r="K70" s="18" t="str">
        <x:f>A70&amp;"|"&amp;B70&amp;"|"&amp;C70&amp;"|"&amp;D70&amp;"|"&amp;E70</x:f>
        <x:v>KG01|23|45951|ORD-2025-00092|15</x:v>
      </x:c>
      <x:c r="L70" s="18" t="str">
        <x:f>IF(AND(G70&gt;=0,I70&gt;=0,I70&lt;=G70),"OK","CHECK")</x:f>
        <x:v>OK</x:v>
      </x:c>
      <x:c r="M70" s="18" t="str">
        <x:f>IF(COUNTIF(ProductionReference!$A$5:$A$74,J70)=1,"OK","LINK ERROR")</x:f>
        <x:v>OK</x:v>
      </x:c>
      <x:c r="N70" s="18" t="str">
        <x:f>IF(F70=INDEX(ProductionReference!$D$5:$D$74,MATCH(J70,ProductionReference!$A$5:$A$74,0)),"OK","SHIFT MISMATCH")</x:f>
        <x:v>OK</x:v>
      </x:c>
      <x:c r="O70" s="18" t="str">
        <x:f>IF(COUNTIFS($A$5:$A$149,A70,$B$5:$B$149,B70,$C$5:$C$149,C70,$D$5:$D$149,D70,$E$5:$E$149,E70,$H$5:$H$149,H70)=1,"OK","DUPLICATE")</x:f>
        <x:v>OK</x:v>
      </x:c>
      <x:c r="P70" s="18" t="n">
        <x:f>COUNTIF($K$5:$K$149,K70)</x:f>
        <x:v>1</x:v>
      </x:c>
    </x:row>
    <x:row r="71">
      <x:c r="A71" s="13" t="str">
        <x:v>KG01</x:v>
      </x:c>
      <x:c r="B71" s="13" t="n">
        <x:v>23</x:v>
      </x:c>
      <x:c r="C71" s="20" t="n">
        <x:v>45951</x:v>
      </x:c>
      <x:c r="D71" s="13" t="str">
        <x:v>ORD-2025-00092</x:v>
      </x:c>
      <x:c r="E71" s="13" t="n">
        <x:v>20</x:v>
      </x:c>
      <x:c r="F71" s="13" t="str">
        <x:v>PM</x:v>
      </x:c>
      <x:c r="G71" s="16" t="n">
        <x:v>200</x:v>
      </x:c>
      <x:c r="H71" s="16" t="str">
        <x:v>Thin Wall</x:v>
      </x:c>
      <x:c r="I71" s="16" t="n">
        <x:v>4</x:v>
      </x:c>
      <x:c r="J71" s="18" t="str">
        <x:v>PE000032</x:v>
      </x:c>
      <x:c r="K71" s="18" t="str">
        <x:f>A71&amp;"|"&amp;B71&amp;"|"&amp;C71&amp;"|"&amp;D71&amp;"|"&amp;E71</x:f>
        <x:v>KG01|23|45951|ORD-2025-00092|20</x:v>
      </x:c>
      <x:c r="L71" s="18" t="str">
        <x:f>IF(AND(G71&gt;=0,I71&gt;=0,I71&lt;=G71),"OK","CHECK")</x:f>
        <x:v>OK</x:v>
      </x:c>
      <x:c r="M71" s="18" t="str">
        <x:f>IF(COUNTIF(ProductionReference!$A$5:$A$74,J71)=1,"OK","LINK ERROR")</x:f>
        <x:v>OK</x:v>
      </x:c>
      <x:c r="N71" s="18" t="str">
        <x:f>IF(F71=INDEX(ProductionReference!$D$5:$D$74,MATCH(J71,ProductionReference!$A$5:$A$74,0)),"OK","SHIFT MISMATCH")</x:f>
        <x:v>OK</x:v>
      </x:c>
      <x:c r="O71" s="18" t="str">
        <x:f>IF(COUNTIFS($A$5:$A$149,A71,$B$5:$B$149,B71,$C$5:$C$149,C71,$D$5:$D$149,D71,$E$5:$E$149,E71,$H$5:$H$149,H71)=1,"OK","DUPLICATE")</x:f>
        <x:v>OK</x:v>
      </x:c>
      <x:c r="P71" s="18" t="n">
        <x:f>COUNTIF($K$5:$K$149,K71)</x:f>
        <x:v>1</x:v>
      </x:c>
    </x:row>
    <x:row r="72">
      <x:c r="A72" s="13" t="str">
        <x:v>KG01</x:v>
      </x:c>
      <x:c r="B72" s="13" t="n">
        <x:v>23</x:v>
      </x:c>
      <x:c r="C72" s="20" t="n">
        <x:v>45951</x:v>
      </x:c>
      <x:c r="D72" s="13" t="str">
        <x:v>ORD-2025-00092</x:v>
      </x:c>
      <x:c r="E72" s="13" t="n">
        <x:v>23</x:v>
      </x:c>
      <x:c r="F72" s="13" t="str">
        <x:v>PM</x:v>
      </x:c>
      <x:c r="G72" s="16" t="n">
        <x:v>50</x:v>
      </x:c>
      <x:c r="H72" s="16" t="str">
        <x:v>Crack</x:v>
      </x:c>
      <x:c r="I72" s="16" t="n">
        <x:v>1</x:v>
      </x:c>
      <x:c r="J72" s="18" t="str">
        <x:v>PE000032</x:v>
      </x:c>
      <x:c r="K72" s="18" t="str">
        <x:f>A72&amp;"|"&amp;B72&amp;"|"&amp;C72&amp;"|"&amp;D72&amp;"|"&amp;E72</x:f>
        <x:v>KG01|23|45951|ORD-2025-00092|23</x:v>
      </x:c>
      <x:c r="L72" s="18" t="str">
        <x:f>IF(AND(G72&gt;=0,I72&gt;=0,I72&lt;=G72),"OK","CHECK")</x:f>
        <x:v>OK</x:v>
      </x:c>
      <x:c r="M72" s="18" t="str">
        <x:f>IF(COUNTIF(ProductionReference!$A$5:$A$74,J72)=1,"OK","LINK ERROR")</x:f>
        <x:v>OK</x:v>
      </x:c>
      <x:c r="N72" s="18" t="str">
        <x:f>IF(F72=INDEX(ProductionReference!$D$5:$D$74,MATCH(J72,ProductionReference!$A$5:$A$74,0)),"OK","SHIFT MISMATCH")</x:f>
        <x:v>OK</x:v>
      </x:c>
      <x:c r="O72" s="18" t="str">
        <x:f>IF(COUNTIFS($A$5:$A$149,A72,$B$5:$B$149,B72,$C$5:$C$149,C72,$D$5:$D$149,D72,$E$5:$E$149,E72,$H$5:$H$149,H72)=1,"OK","DUPLICATE")</x:f>
        <x:v>OK</x:v>
      </x:c>
      <x:c r="P72" s="18" t="n">
        <x:f>COUNTIF($K$5:$K$149,K72)</x:f>
        <x:v>1</x:v>
      </x:c>
    </x:row>
    <x:row r="73">
      <x:c r="A73" s="13" t="str">
        <x:v>KG01</x:v>
      </x:c>
      <x:c r="B73" s="13" t="n">
        <x:v>23</x:v>
      </x:c>
      <x:c r="C73" s="20" t="n">
        <x:v>45952</x:v>
      </x:c>
      <x:c r="D73" s="13" t="str">
        <x:v>ORD-2025-00093</x:v>
      </x:c>
      <x:c r="E73" s="13" t="n">
        <x:v>9</x:v>
      </x:c>
      <x:c r="F73" s="13" t="str">
        <x:v>AM</x:v>
      </x:c>
      <x:c r="G73" s="16" t="n">
        <x:v>150</x:v>
      </x:c>
      <x:c r="H73" s="16" t="str">
        <x:v>Blister</x:v>
      </x:c>
      <x:c r="I73" s="16" t="n">
        <x:v>5</x:v>
      </x:c>
      <x:c r="J73" s="18" t="str">
        <x:v>PE000033</x:v>
      </x:c>
      <x:c r="K73" s="18" t="str">
        <x:f>A73&amp;"|"&amp;B73&amp;"|"&amp;C73&amp;"|"&amp;D73&amp;"|"&amp;E73</x:f>
        <x:v>KG01|23|45952|ORD-2025-00093|9</x:v>
      </x:c>
      <x:c r="L73" s="18" t="str">
        <x:f>IF(AND(G73&gt;=0,I73&gt;=0,I73&lt;=G73),"OK","CHECK")</x:f>
        <x:v>OK</x:v>
      </x:c>
      <x:c r="M73" s="18" t="str">
        <x:f>IF(COUNTIF(ProductionReference!$A$5:$A$74,J73)=1,"OK","LINK ERROR")</x:f>
        <x:v>OK</x:v>
      </x:c>
      <x:c r="N73" s="18" t="str">
        <x:f>IF(F73=INDEX(ProductionReference!$D$5:$D$74,MATCH(J73,ProductionReference!$A$5:$A$74,0)),"OK","SHIFT MISMATCH")</x:f>
        <x:v>OK</x:v>
      </x:c>
      <x:c r="O73" s="18" t="str">
        <x:f>IF(COUNTIFS($A$5:$A$149,A73,$B$5:$B$149,B73,$C$5:$C$149,C73,$D$5:$D$149,D73,$E$5:$E$149,E73,$H$5:$H$149,H73)=1,"OK","DUPLICATE")</x:f>
        <x:v>OK</x:v>
      </x:c>
      <x:c r="P73" s="18" t="n">
        <x:f>COUNTIF($K$5:$K$149,K73)</x:f>
        <x:v>1</x:v>
      </x:c>
    </x:row>
    <x:row r="74">
      <x:c r="A74" s="13" t="str">
        <x:v>KG01</x:v>
      </x:c>
      <x:c r="B74" s="13" t="n">
        <x:v>23</x:v>
      </x:c>
      <x:c r="C74" s="20" t="n">
        <x:v>45952</x:v>
      </x:c>
      <x:c r="D74" s="13" t="str">
        <x:v>ORD-2025-00093</x:v>
      </x:c>
      <x:c r="E74" s="13" t="n">
        <x:v>15</x:v>
      </x:c>
      <x:c r="F74" s="13" t="str">
        <x:v>AM</x:v>
      </x:c>
      <x:c r="G74" s="16" t="n">
        <x:v>200</x:v>
      </x:c>
      <x:c r="H74" s="16" t="str">
        <x:v>Stone</x:v>
      </x:c>
      <x:c r="I74" s="16" t="n">
        <x:v>7</x:v>
      </x:c>
      <x:c r="J74" s="18" t="str">
        <x:v>PE000033</x:v>
      </x:c>
      <x:c r="K74" s="18" t="str">
        <x:f>A74&amp;"|"&amp;B74&amp;"|"&amp;C74&amp;"|"&amp;D74&amp;"|"&amp;E74</x:f>
        <x:v>KG01|23|45952|ORD-2025-00093|15</x:v>
      </x:c>
      <x:c r="L74" s="18" t="str">
        <x:f>IF(AND(G74&gt;=0,I74&gt;=0,I74&lt;=G74),"OK","CHECK")</x:f>
        <x:v>OK</x:v>
      </x:c>
      <x:c r="M74" s="18" t="str">
        <x:f>IF(COUNTIF(ProductionReference!$A$5:$A$74,J74)=1,"OK","LINK ERROR")</x:f>
        <x:v>OK</x:v>
      </x:c>
      <x:c r="N74" s="18" t="str">
        <x:f>IF(F74=INDEX(ProductionReference!$D$5:$D$74,MATCH(J74,ProductionReference!$A$5:$A$74,0)),"OK","SHIFT MISMATCH")</x:f>
        <x:v>OK</x:v>
      </x:c>
      <x:c r="O74" s="18" t="str">
        <x:f>IF(COUNTIFS($A$5:$A$149,A74,$B$5:$B$149,B74,$C$5:$C$149,C74,$D$5:$D$149,D74,$E$5:$E$149,E74,$H$5:$H$149,H74)=1,"OK","DUPLICATE")</x:f>
        <x:v>OK</x:v>
      </x:c>
      <x:c r="P74" s="18" t="n">
        <x:f>COUNTIF($K$5:$K$149,K74)</x:f>
        <x:v>1</x:v>
      </x:c>
    </x:row>
    <x:row r="75">
      <x:c r="A75" s="13" t="str">
        <x:v>KG01</x:v>
      </x:c>
      <x:c r="B75" s="13" t="n">
        <x:v>23</x:v>
      </x:c>
      <x:c r="C75" s="20" t="n">
        <x:v>45952</x:v>
      </x:c>
      <x:c r="D75" s="13" t="str">
        <x:v>ORD-2025-00093</x:v>
      </x:c>
      <x:c r="E75" s="13" t="n">
        <x:v>20</x:v>
      </x:c>
      <x:c r="F75" s="13" t="str">
        <x:v>PM</x:v>
      </x:c>
      <x:c r="G75" s="16" t="n">
        <x:v>50</x:v>
      </x:c>
      <x:c r="H75" s="16" t="str">
        <x:v>Blister</x:v>
      </x:c>
      <x:c r="I75" s="16" t="n">
        <x:v>2</x:v>
      </x:c>
      <x:c r="J75" s="18" t="str">
        <x:v>PE000034</x:v>
      </x:c>
      <x:c r="K75" s="18" t="str">
        <x:f>A75&amp;"|"&amp;B75&amp;"|"&amp;C75&amp;"|"&amp;D75&amp;"|"&amp;E75</x:f>
        <x:v>KG01|23|45952|ORD-2025-00093|20</x:v>
      </x:c>
      <x:c r="L75" s="18" t="str">
        <x:f>IF(AND(G75&gt;=0,I75&gt;=0,I75&lt;=G75),"OK","CHECK")</x:f>
        <x:v>OK</x:v>
      </x:c>
      <x:c r="M75" s="18" t="str">
        <x:f>IF(COUNTIF(ProductionReference!$A$5:$A$74,J75)=1,"OK","LINK ERROR")</x:f>
        <x:v>OK</x:v>
      </x:c>
      <x:c r="N75" s="18" t="str">
        <x:f>IF(F75=INDEX(ProductionReference!$D$5:$D$74,MATCH(J75,ProductionReference!$A$5:$A$74,0)),"OK","SHIFT MISMATCH")</x:f>
        <x:v>OK</x:v>
      </x:c>
      <x:c r="O75" s="18" t="str">
        <x:f>IF(COUNTIFS($A$5:$A$149,A75,$B$5:$B$149,B75,$C$5:$C$149,C75,$D$5:$D$149,D75,$E$5:$E$149,E75,$H$5:$H$149,H75)=1,"OK","DUPLICATE")</x:f>
        <x:v>OK</x:v>
      </x:c>
      <x:c r="P75" s="18" t="n">
        <x:f>COUNTIF($K$5:$K$149,K75)</x:f>
        <x:v>1</x:v>
      </x:c>
    </x:row>
    <x:row r="76">
      <x:c r="A76" s="13" t="str">
        <x:v>KG01</x:v>
      </x:c>
      <x:c r="B76" s="13" t="n">
        <x:v>23</x:v>
      </x:c>
      <x:c r="C76" s="20" t="n">
        <x:v>45952</x:v>
      </x:c>
      <x:c r="D76" s="13" t="str">
        <x:v>ORD-2025-00093</x:v>
      </x:c>
      <x:c r="E76" s="13" t="n">
        <x:v>23</x:v>
      </x:c>
      <x:c r="F76" s="13" t="str">
        <x:v>PM</x:v>
      </x:c>
      <x:c r="G76" s="16" t="n">
        <x:v>150</x:v>
      </x:c>
      <x:c r="H76" s="16" t="str">
        <x:v>Blister</x:v>
      </x:c>
      <x:c r="I76" s="16" t="n">
        <x:v>2</x:v>
      </x:c>
      <x:c r="J76" s="18" t="str">
        <x:v>PE000034</x:v>
      </x:c>
      <x:c r="K76" s="18" t="str">
        <x:f>A76&amp;"|"&amp;B76&amp;"|"&amp;C76&amp;"|"&amp;D76&amp;"|"&amp;E76</x:f>
        <x:v>KG01|23|45952|ORD-2025-00093|23</x:v>
      </x:c>
      <x:c r="L76" s="18" t="str">
        <x:f>IF(AND(G76&gt;=0,I76&gt;=0,I76&lt;=G76),"OK","CHECK")</x:f>
        <x:v>OK</x:v>
      </x:c>
      <x:c r="M76" s="18" t="str">
        <x:f>IF(COUNTIF(ProductionReference!$A$5:$A$74,J76)=1,"OK","LINK ERROR")</x:f>
        <x:v>OK</x:v>
      </x:c>
      <x:c r="N76" s="18" t="str">
        <x:f>IF(F76=INDEX(ProductionReference!$D$5:$D$74,MATCH(J76,ProductionReference!$A$5:$A$74,0)),"OK","SHIFT MISMATCH")</x:f>
        <x:v>OK</x:v>
      </x:c>
      <x:c r="O76" s="18" t="str">
        <x:f>IF(COUNTIFS($A$5:$A$149,A76,$B$5:$B$149,B76,$C$5:$C$149,C76,$D$5:$D$149,D76,$E$5:$E$149,E76,$H$5:$H$149,H76)=1,"OK","DUPLICATE")</x:f>
        <x:v>OK</x:v>
      </x:c>
      <x:c r="P76" s="18" t="n">
        <x:f>COUNTIF($K$5:$K$149,K76)</x:f>
        <x:v>1</x:v>
      </x:c>
    </x:row>
    <x:row r="77">
      <x:c r="A77" s="13" t="str">
        <x:v>KG01</x:v>
      </x:c>
      <x:c r="B77" s="13" t="n">
        <x:v>23</x:v>
      </x:c>
      <x:c r="C77" s="20" t="n">
        <x:v>45953</x:v>
      </x:c>
      <x:c r="D77" s="13" t="str">
        <x:v>ORD-2025-00093</x:v>
      </x:c>
      <x:c r="E77" s="13" t="n">
        <x:v>9</x:v>
      </x:c>
      <x:c r="F77" s="13" t="str">
        <x:v>AM</x:v>
      </x:c>
      <x:c r="G77" s="16" t="n">
        <x:v>100</x:v>
      </x:c>
      <x:c r="H77" s="16" t="str">
        <x:v>Choke Neck</x:v>
      </x:c>
      <x:c r="I77" s="16" t="n">
        <x:v>4</x:v>
      </x:c>
      <x:c r="J77" s="18" t="str">
        <x:v>PE000035</x:v>
      </x:c>
      <x:c r="K77" s="18" t="str">
        <x:f>A77&amp;"|"&amp;B77&amp;"|"&amp;C77&amp;"|"&amp;D77&amp;"|"&amp;E77</x:f>
        <x:v>KG01|23|45953|ORD-2025-00093|9</x:v>
      </x:c>
      <x:c r="L77" s="18" t="str">
        <x:f>IF(AND(G77&gt;=0,I77&gt;=0,I77&lt;=G77),"OK","CHECK")</x:f>
        <x:v>OK</x:v>
      </x:c>
      <x:c r="M77" s="18" t="str">
        <x:f>IF(COUNTIF(ProductionReference!$A$5:$A$74,J77)=1,"OK","LINK ERROR")</x:f>
        <x:v>OK</x:v>
      </x:c>
      <x:c r="N77" s="18" t="str">
        <x:f>IF(F77=INDEX(ProductionReference!$D$5:$D$74,MATCH(J77,ProductionReference!$A$5:$A$74,0)),"OK","SHIFT MISMATCH")</x:f>
        <x:v>OK</x:v>
      </x:c>
      <x:c r="O77" s="18" t="str">
        <x:f>IF(COUNTIFS($A$5:$A$149,A77,$B$5:$B$149,B77,$C$5:$C$149,C77,$D$5:$D$149,D77,$E$5:$E$149,E77,$H$5:$H$149,H77)=1,"OK","DUPLICATE")</x:f>
        <x:v>OK</x:v>
      </x:c>
      <x:c r="P77" s="18" t="n">
        <x:f>COUNTIF($K$5:$K$149,K77)</x:f>
        <x:v>1</x:v>
      </x:c>
    </x:row>
    <x:row r="78">
      <x:c r="A78" s="13" t="str">
        <x:v>KG01</x:v>
      </x:c>
      <x:c r="B78" s="13" t="n">
        <x:v>23</x:v>
      </x:c>
      <x:c r="C78" s="20" t="n">
        <x:v>45953</x:v>
      </x:c>
      <x:c r="D78" s="13" t="str">
        <x:v>ORD-2025-00093</x:v>
      </x:c>
      <x:c r="E78" s="13" t="n">
        <x:v>15</x:v>
      </x:c>
      <x:c r="F78" s="13" t="str">
        <x:v>AM</x:v>
      </x:c>
      <x:c r="G78" s="16" t="n">
        <x:v>150</x:v>
      </x:c>
      <x:c r="H78" s="16" t="str">
        <x:v>Chip</x:v>
      </x:c>
      <x:c r="I78" s="16" t="n">
        <x:v>2</x:v>
      </x:c>
      <x:c r="J78" s="18" t="str">
        <x:v>PE000035</x:v>
      </x:c>
      <x:c r="K78" s="18" t="str">
        <x:f>A78&amp;"|"&amp;B78&amp;"|"&amp;C78&amp;"|"&amp;D78&amp;"|"&amp;E78</x:f>
        <x:v>KG01|23|45953|ORD-2025-00093|15</x:v>
      </x:c>
      <x:c r="L78" s="18" t="str">
        <x:f>IF(AND(G78&gt;=0,I78&gt;=0,I78&lt;=G78),"OK","CHECK")</x:f>
        <x:v>OK</x:v>
      </x:c>
      <x:c r="M78" s="18" t="str">
        <x:f>IF(COUNTIF(ProductionReference!$A$5:$A$74,J78)=1,"OK","LINK ERROR")</x:f>
        <x:v>OK</x:v>
      </x:c>
      <x:c r="N78" s="18" t="str">
        <x:f>IF(F78=INDEX(ProductionReference!$D$5:$D$74,MATCH(J78,ProductionReference!$A$5:$A$74,0)),"OK","SHIFT MISMATCH")</x:f>
        <x:v>OK</x:v>
      </x:c>
      <x:c r="O78" s="18" t="str">
        <x:f>IF(COUNTIFS($A$5:$A$149,A78,$B$5:$B$149,B78,$C$5:$C$149,C78,$D$5:$D$149,D78,$E$5:$E$149,E78,$H$5:$H$149,H78)=1,"OK","DUPLICATE")</x:f>
        <x:v>OK</x:v>
      </x:c>
      <x:c r="P78" s="18" t="n">
        <x:f>COUNTIF($K$5:$K$149,K78)</x:f>
        <x:v>1</x:v>
      </x:c>
    </x:row>
    <x:row r="79">
      <x:c r="A79" s="13" t="str">
        <x:v>KG01</x:v>
      </x:c>
      <x:c r="B79" s="13" t="n">
        <x:v>23</x:v>
      </x:c>
      <x:c r="C79" s="20" t="n">
        <x:v>45953</x:v>
      </x:c>
      <x:c r="D79" s="13" t="str">
        <x:v>ORD-2025-00093</x:v>
      </x:c>
      <x:c r="E79" s="13" t="n">
        <x:v>20</x:v>
      </x:c>
      <x:c r="F79" s="13" t="str">
        <x:v>PM</x:v>
      </x:c>
      <x:c r="G79" s="16" t="n">
        <x:v>50</x:v>
      </x:c>
      <x:c r="H79" s="16" t="str">
        <x:v>Overpress</x:v>
      </x:c>
      <x:c r="I79" s="16" t="n">
        <x:v>1</x:v>
      </x:c>
      <x:c r="J79" s="18" t="str">
        <x:v>PE000036</x:v>
      </x:c>
      <x:c r="K79" s="18" t="str">
        <x:f>A79&amp;"|"&amp;B79&amp;"|"&amp;C79&amp;"|"&amp;D79&amp;"|"&amp;E79</x:f>
        <x:v>KG01|23|45953|ORD-2025-00093|20</x:v>
      </x:c>
      <x:c r="L79" s="18" t="str">
        <x:f>IF(AND(G79&gt;=0,I79&gt;=0,I79&lt;=G79),"OK","CHECK")</x:f>
        <x:v>OK</x:v>
      </x:c>
      <x:c r="M79" s="18" t="str">
        <x:f>IF(COUNTIF(ProductionReference!$A$5:$A$74,J79)=1,"OK","LINK ERROR")</x:f>
        <x:v>OK</x:v>
      </x:c>
      <x:c r="N79" s="18" t="str">
        <x:f>IF(F79=INDEX(ProductionReference!$D$5:$D$74,MATCH(J79,ProductionReference!$A$5:$A$74,0)),"OK","SHIFT MISMATCH")</x:f>
        <x:v>OK</x:v>
      </x:c>
      <x:c r="O79" s="18" t="str">
        <x:f>IF(COUNTIFS($A$5:$A$149,A79,$B$5:$B$149,B79,$C$5:$C$149,C79,$D$5:$D$149,D79,$E$5:$E$149,E79,$H$5:$H$149,H79)=1,"OK","DUPLICATE")</x:f>
        <x:v>OK</x:v>
      </x:c>
      <x:c r="P79" s="18" t="n">
        <x:f>COUNTIF($K$5:$K$149,K79)</x:f>
        <x:v>1</x:v>
      </x:c>
    </x:row>
    <x:row r="80">
      <x:c r="A80" s="13" t="str">
        <x:v>KG01</x:v>
      </x:c>
      <x:c r="B80" s="13" t="n">
        <x:v>23</x:v>
      </x:c>
      <x:c r="C80" s="20" t="n">
        <x:v>45953</x:v>
      </x:c>
      <x:c r="D80" s="13" t="str">
        <x:v>ORD-2025-00093</x:v>
      </x:c>
      <x:c r="E80" s="13" t="n">
        <x:v>23</x:v>
      </x:c>
      <x:c r="F80" s="13" t="str">
        <x:v>PM</x:v>
      </x:c>
      <x:c r="G80" s="16" t="n">
        <x:v>200</x:v>
      </x:c>
      <x:c r="H80" s="16" t="str">
        <x:v>Distortion</x:v>
      </x:c>
      <x:c r="I80" s="16" t="n">
        <x:v>4</x:v>
      </x:c>
      <x:c r="J80" s="18" t="str">
        <x:v>PE000036</x:v>
      </x:c>
      <x:c r="K80" s="18" t="str">
        <x:f>A80&amp;"|"&amp;B80&amp;"|"&amp;C80&amp;"|"&amp;D80&amp;"|"&amp;E80</x:f>
        <x:v>KG01|23|45953|ORD-2025-00093|23</x:v>
      </x:c>
      <x:c r="L80" s="18" t="str">
        <x:f>IF(AND(G80&gt;=0,I80&gt;=0,I80&lt;=G80),"OK","CHECK")</x:f>
        <x:v>OK</x:v>
      </x:c>
      <x:c r="M80" s="18" t="str">
        <x:f>IF(COUNTIF(ProductionReference!$A$5:$A$74,J80)=1,"OK","LINK ERROR")</x:f>
        <x:v>OK</x:v>
      </x:c>
      <x:c r="N80" s="18" t="str">
        <x:f>IF(F80=INDEX(ProductionReference!$D$5:$D$74,MATCH(J80,ProductionReference!$A$5:$A$74,0)),"OK","SHIFT MISMATCH")</x:f>
        <x:v>OK</x:v>
      </x:c>
      <x:c r="O80" s="18" t="str">
        <x:f>IF(COUNTIFS($A$5:$A$149,A80,$B$5:$B$149,B80,$C$5:$C$149,C80,$D$5:$D$149,D80,$E$5:$E$149,E80,$H$5:$H$149,H80)=1,"OK","DUPLICATE")</x:f>
        <x:v>OK</x:v>
      </x:c>
      <x:c r="P80" s="18" t="n">
        <x:f>COUNTIF($K$5:$K$149,K80)</x:f>
        <x:v>1</x:v>
      </x:c>
    </x:row>
    <x:row r="81">
      <x:c r="A81" s="13" t="str">
        <x:v>KG01</x:v>
      </x:c>
      <x:c r="B81" s="13" t="n">
        <x:v>23</x:v>
      </x:c>
      <x:c r="C81" s="20" t="n">
        <x:v>45954</x:v>
      </x:c>
      <x:c r="D81" s="13" t="str">
        <x:v>ORD-2025-00093</x:v>
      </x:c>
      <x:c r="E81" s="13" t="n">
        <x:v>9</x:v>
      </x:c>
      <x:c r="F81" s="13" t="str">
        <x:v>AM</x:v>
      </x:c>
      <x:c r="G81" s="16" t="n">
        <x:v>200</x:v>
      </x:c>
      <x:c r="H81" s="16" t="str">
        <x:v>Distortion</x:v>
      </x:c>
      <x:c r="I81" s="16" t="n">
        <x:v>6</x:v>
      </x:c>
      <x:c r="J81" s="18" t="str">
        <x:v>PE000037</x:v>
      </x:c>
      <x:c r="K81" s="18" t="str">
        <x:f>A81&amp;"|"&amp;B81&amp;"|"&amp;C81&amp;"|"&amp;D81&amp;"|"&amp;E81</x:f>
        <x:v>KG01|23|45954|ORD-2025-00093|9</x:v>
      </x:c>
      <x:c r="L81" s="18" t="str">
        <x:f>IF(AND(G81&gt;=0,I81&gt;=0,I81&lt;=G81),"OK","CHECK")</x:f>
        <x:v>OK</x:v>
      </x:c>
      <x:c r="M81" s="18" t="str">
        <x:f>IF(COUNTIF(ProductionReference!$A$5:$A$74,J81)=1,"OK","LINK ERROR")</x:f>
        <x:v>OK</x:v>
      </x:c>
      <x:c r="N81" s="18" t="str">
        <x:f>IF(F81=INDEX(ProductionReference!$D$5:$D$74,MATCH(J81,ProductionReference!$A$5:$A$74,0)),"OK","SHIFT MISMATCH")</x:f>
        <x:v>OK</x:v>
      </x:c>
      <x:c r="O81" s="18" t="str">
        <x:f>IF(COUNTIFS($A$5:$A$149,A81,$B$5:$B$149,B81,$C$5:$C$149,C81,$D$5:$D$149,D81,$E$5:$E$149,E81,$H$5:$H$149,H81)=1,"OK","DUPLICATE")</x:f>
        <x:v>OK</x:v>
      </x:c>
      <x:c r="P81" s="18" t="n">
        <x:f>COUNTIF($K$5:$K$149,K81)</x:f>
        <x:v>1</x:v>
      </x:c>
    </x:row>
    <x:row r="82">
      <x:c r="A82" s="13" t="str">
        <x:v>KG01</x:v>
      </x:c>
      <x:c r="B82" s="13" t="n">
        <x:v>23</x:v>
      </x:c>
      <x:c r="C82" s="20" t="n">
        <x:v>45954</x:v>
      </x:c>
      <x:c r="D82" s="13" t="str">
        <x:v>ORD-2025-00093</x:v>
      </x:c>
      <x:c r="E82" s="13" t="n">
        <x:v>15</x:v>
      </x:c>
      <x:c r="F82" s="13" t="str">
        <x:v>AM</x:v>
      </x:c>
      <x:c r="G82" s="16" t="n">
        <x:v>100</x:v>
      </x:c>
      <x:c r="H82" s="16" t="str">
        <x:v>Distortion</x:v>
      </x:c>
      <x:c r="I82" s="16" t="n">
        <x:v>3</x:v>
      </x:c>
      <x:c r="J82" s="18" t="str">
        <x:v>PE000037</x:v>
      </x:c>
      <x:c r="K82" s="18" t="str">
        <x:f>A82&amp;"|"&amp;B82&amp;"|"&amp;C82&amp;"|"&amp;D82&amp;"|"&amp;E82</x:f>
        <x:v>KG01|23|45954|ORD-2025-00093|15</x:v>
      </x:c>
      <x:c r="L82" s="18" t="str">
        <x:f>IF(AND(G82&gt;=0,I82&gt;=0,I82&lt;=G82),"OK","CHECK")</x:f>
        <x:v>OK</x:v>
      </x:c>
      <x:c r="M82" s="18" t="str">
        <x:f>IF(COUNTIF(ProductionReference!$A$5:$A$74,J82)=1,"OK","LINK ERROR")</x:f>
        <x:v>OK</x:v>
      </x:c>
      <x:c r="N82" s="18" t="str">
        <x:f>IF(F82=INDEX(ProductionReference!$D$5:$D$74,MATCH(J82,ProductionReference!$A$5:$A$74,0)),"OK","SHIFT MISMATCH")</x:f>
        <x:v>OK</x:v>
      </x:c>
      <x:c r="O82" s="18" t="str">
        <x:f>IF(COUNTIFS($A$5:$A$149,A82,$B$5:$B$149,B82,$C$5:$C$149,C82,$D$5:$D$149,D82,$E$5:$E$149,E82,$H$5:$H$149,H82)=1,"OK","DUPLICATE")</x:f>
        <x:v>OK</x:v>
      </x:c>
      <x:c r="P82" s="18" t="n">
        <x:f>COUNTIF($K$5:$K$149,K82)</x:f>
        <x:v>1</x:v>
      </x:c>
    </x:row>
    <x:row r="83">
      <x:c r="A83" s="13" t="str">
        <x:v>KG01</x:v>
      </x:c>
      <x:c r="B83" s="13" t="n">
        <x:v>23</x:v>
      </x:c>
      <x:c r="C83" s="20" t="n">
        <x:v>45954</x:v>
      </x:c>
      <x:c r="D83" s="13" t="str">
        <x:v>ORD-2025-00093</x:v>
      </x:c>
      <x:c r="E83" s="13" t="n">
        <x:v>20</x:v>
      </x:c>
      <x:c r="F83" s="13" t="str">
        <x:v>PM</x:v>
      </x:c>
      <x:c r="G83" s="16" t="n">
        <x:v>200</x:v>
      </x:c>
      <x:c r="H83" s="16" t="str">
        <x:v>Overpress</x:v>
      </x:c>
      <x:c r="I83" s="16" t="n">
        <x:v>0</x:v>
      </x:c>
      <x:c r="J83" s="18" t="str">
        <x:v>PE000038</x:v>
      </x:c>
      <x:c r="K83" s="18" t="str">
        <x:f>A83&amp;"|"&amp;B83&amp;"|"&amp;C83&amp;"|"&amp;D83&amp;"|"&amp;E83</x:f>
        <x:v>KG01|23|45954|ORD-2025-00093|20</x:v>
      </x:c>
      <x:c r="L83" s="18" t="str">
        <x:f>IF(AND(G83&gt;=0,I83&gt;=0,I83&lt;=G83),"OK","CHECK")</x:f>
        <x:v>OK</x:v>
      </x:c>
      <x:c r="M83" s="18" t="str">
        <x:f>IF(COUNTIF(ProductionReference!$A$5:$A$74,J83)=1,"OK","LINK ERROR")</x:f>
        <x:v>OK</x:v>
      </x:c>
      <x:c r="N83" s="18" t="str">
        <x:f>IF(F83=INDEX(ProductionReference!$D$5:$D$74,MATCH(J83,ProductionReference!$A$5:$A$74,0)),"OK","SHIFT MISMATCH")</x:f>
        <x:v>OK</x:v>
      </x:c>
      <x:c r="O83" s="18" t="str">
        <x:f>IF(COUNTIFS($A$5:$A$149,A83,$B$5:$B$149,B83,$C$5:$C$149,C83,$D$5:$D$149,D83,$E$5:$E$149,E83,$H$5:$H$149,H83)=1,"OK","DUPLICATE")</x:f>
        <x:v>OK</x:v>
      </x:c>
      <x:c r="P83" s="18" t="n">
        <x:f>COUNTIF($K$5:$K$149,K83)</x:f>
        <x:v>1</x:v>
      </x:c>
    </x:row>
    <x:row r="84">
      <x:c r="A84" s="13" t="str">
        <x:v>KG01</x:v>
      </x:c>
      <x:c r="B84" s="13" t="n">
        <x:v>23</x:v>
      </x:c>
      <x:c r="C84" s="20" t="n">
        <x:v>45954</x:v>
      </x:c>
      <x:c r="D84" s="13" t="str">
        <x:v>ORD-2025-00093</x:v>
      </x:c>
      <x:c r="E84" s="13" t="n">
        <x:v>23</x:v>
      </x:c>
      <x:c r="F84" s="13" t="str">
        <x:v>PM</x:v>
      </x:c>
      <x:c r="G84" s="16" t="n">
        <x:v>100</x:v>
      </x:c>
      <x:c r="H84" s="16" t="str">
        <x:v>Distortion</x:v>
      </x:c>
      <x:c r="I84" s="16" t="n">
        <x:v>2</x:v>
      </x:c>
      <x:c r="J84" s="18" t="str">
        <x:v>PE000038</x:v>
      </x:c>
      <x:c r="K84" s="18" t="str">
        <x:f>A84&amp;"|"&amp;B84&amp;"|"&amp;C84&amp;"|"&amp;D84&amp;"|"&amp;E84</x:f>
        <x:v>KG01|23|45954|ORD-2025-00093|23</x:v>
      </x:c>
      <x:c r="L84" s="18" t="str">
        <x:f>IF(AND(G84&gt;=0,I84&gt;=0,I84&lt;=G84),"OK","CHECK")</x:f>
        <x:v>OK</x:v>
      </x:c>
      <x:c r="M84" s="18" t="str">
        <x:f>IF(COUNTIF(ProductionReference!$A$5:$A$74,J84)=1,"OK","LINK ERROR")</x:f>
        <x:v>OK</x:v>
      </x:c>
      <x:c r="N84" s="18" t="str">
        <x:f>IF(F84=INDEX(ProductionReference!$D$5:$D$74,MATCH(J84,ProductionReference!$A$5:$A$74,0)),"OK","SHIFT MISMATCH")</x:f>
        <x:v>OK</x:v>
      </x:c>
      <x:c r="O84" s="18" t="str">
        <x:f>IF(COUNTIFS($A$5:$A$149,A84,$B$5:$B$149,B84,$C$5:$C$149,C84,$D$5:$D$149,D84,$E$5:$E$149,E84,$H$5:$H$149,H84)=1,"OK","DUPLICATE")</x:f>
        <x:v>OK</x:v>
      </x:c>
      <x:c r="P84" s="18" t="n">
        <x:f>COUNTIF($K$5:$K$149,K84)</x:f>
        <x:v>1</x:v>
      </x:c>
    </x:row>
    <x:row r="85">
      <x:c r="A85" s="13" t="str">
        <x:v>KG01</x:v>
      </x:c>
      <x:c r="B85" s="13" t="n">
        <x:v>23</x:v>
      </x:c>
      <x:c r="C85" s="20" t="n">
        <x:v>45955</x:v>
      </x:c>
      <x:c r="D85" s="13" t="str">
        <x:v>ORD-2025-00093</x:v>
      </x:c>
      <x:c r="E85" s="13" t="n">
        <x:v>9</x:v>
      </x:c>
      <x:c r="F85" s="13" t="str">
        <x:v>AM</x:v>
      </x:c>
      <x:c r="G85" s="16" t="n">
        <x:v>50</x:v>
      </x:c>
      <x:c r="H85" s="16" t="str">
        <x:v>Overpress</x:v>
      </x:c>
      <x:c r="I85" s="16" t="n">
        <x:v>1</x:v>
      </x:c>
      <x:c r="J85" s="18" t="str">
        <x:v>PE000039</x:v>
      </x:c>
      <x:c r="K85" s="18" t="str">
        <x:f>A85&amp;"|"&amp;B85&amp;"|"&amp;C85&amp;"|"&amp;D85&amp;"|"&amp;E85</x:f>
        <x:v>KG01|23|45955|ORD-2025-00093|9</x:v>
      </x:c>
      <x:c r="L85" s="18" t="str">
        <x:f>IF(AND(G85&gt;=0,I85&gt;=0,I85&lt;=G85),"OK","CHECK")</x:f>
        <x:v>OK</x:v>
      </x:c>
      <x:c r="M85" s="18" t="str">
        <x:f>IF(COUNTIF(ProductionReference!$A$5:$A$74,J85)=1,"OK","LINK ERROR")</x:f>
        <x:v>OK</x:v>
      </x:c>
      <x:c r="N85" s="18" t="str">
        <x:f>IF(F85=INDEX(ProductionReference!$D$5:$D$74,MATCH(J85,ProductionReference!$A$5:$A$74,0)),"OK","SHIFT MISMATCH")</x:f>
        <x:v>OK</x:v>
      </x:c>
      <x:c r="O85" s="18" t="str">
        <x:f>IF(COUNTIFS($A$5:$A$149,A85,$B$5:$B$149,B85,$C$5:$C$149,C85,$D$5:$D$149,D85,$E$5:$E$149,E85,$H$5:$H$149,H85)=1,"OK","DUPLICATE")</x:f>
        <x:v>OK</x:v>
      </x:c>
      <x:c r="P85" s="18" t="n">
        <x:f>COUNTIF($K$5:$K$149,K85)</x:f>
        <x:v>1</x:v>
      </x:c>
    </x:row>
    <x:row r="86">
      <x:c r="A86" s="13" t="str">
        <x:v>KG01</x:v>
      </x:c>
      <x:c r="B86" s="13" t="n">
        <x:v>23</x:v>
      </x:c>
      <x:c r="C86" s="20" t="n">
        <x:v>45955</x:v>
      </x:c>
      <x:c r="D86" s="13" t="str">
        <x:v>ORD-2025-00093</x:v>
      </x:c>
      <x:c r="E86" s="13" t="n">
        <x:v>15</x:v>
      </x:c>
      <x:c r="F86" s="13" t="str">
        <x:v>AM</x:v>
      </x:c>
      <x:c r="G86" s="16" t="n">
        <x:v>150</x:v>
      </x:c>
      <x:c r="H86" s="16" t="str">
        <x:v>Crack</x:v>
      </x:c>
      <x:c r="I86" s="16" t="n">
        <x:v>6</x:v>
      </x:c>
      <x:c r="J86" s="18" t="str">
        <x:v>PE000039</x:v>
      </x:c>
      <x:c r="K86" s="18" t="str">
        <x:f>A86&amp;"|"&amp;B86&amp;"|"&amp;C86&amp;"|"&amp;D86&amp;"|"&amp;E86</x:f>
        <x:v>KG01|23|45955|ORD-2025-00093|15</x:v>
      </x:c>
      <x:c r="L86" s="18" t="str">
        <x:f>IF(AND(G86&gt;=0,I86&gt;=0,I86&lt;=G86),"OK","CHECK")</x:f>
        <x:v>OK</x:v>
      </x:c>
      <x:c r="M86" s="18" t="str">
        <x:f>IF(COUNTIF(ProductionReference!$A$5:$A$74,J86)=1,"OK","LINK ERROR")</x:f>
        <x:v>OK</x:v>
      </x:c>
      <x:c r="N86" s="18" t="str">
        <x:f>IF(F86=INDEX(ProductionReference!$D$5:$D$74,MATCH(J86,ProductionReference!$A$5:$A$74,0)),"OK","SHIFT MISMATCH")</x:f>
        <x:v>OK</x:v>
      </x:c>
      <x:c r="O86" s="18" t="str">
        <x:f>IF(COUNTIFS($A$5:$A$149,A86,$B$5:$B$149,B86,$C$5:$C$149,C86,$D$5:$D$149,D86,$E$5:$E$149,E86,$H$5:$H$149,H86)=1,"OK","DUPLICATE")</x:f>
        <x:v>OK</x:v>
      </x:c>
      <x:c r="P86" s="18" t="n">
        <x:f>COUNTIF($K$5:$K$149,K86)</x:f>
        <x:v>1</x:v>
      </x:c>
    </x:row>
    <x:row r="87">
      <x:c r="A87" s="13" t="str">
        <x:v>KG01</x:v>
      </x:c>
      <x:c r="B87" s="13" t="n">
        <x:v>23</x:v>
      </x:c>
      <x:c r="C87" s="20" t="n">
        <x:v>45955</x:v>
      </x:c>
      <x:c r="D87" s="13" t="str">
        <x:v>ORD-2025-00093</x:v>
      </x:c>
      <x:c r="E87" s="13" t="n">
        <x:v>20</x:v>
      </x:c>
      <x:c r="F87" s="13" t="str">
        <x:v>PM</x:v>
      </x:c>
      <x:c r="G87" s="16" t="n">
        <x:v>150</x:v>
      </x:c>
      <x:c r="H87" s="16" t="str">
        <x:v>Bird Swing</x:v>
      </x:c>
      <x:c r="I87" s="16" t="n">
        <x:v>3</x:v>
      </x:c>
      <x:c r="J87" s="18" t="str">
        <x:v>PE000040</x:v>
      </x:c>
      <x:c r="K87" s="18" t="str">
        <x:f>A87&amp;"|"&amp;B87&amp;"|"&amp;C87&amp;"|"&amp;D87&amp;"|"&amp;E87</x:f>
        <x:v>KG01|23|45955|ORD-2025-00093|20</x:v>
      </x:c>
      <x:c r="L87" s="18" t="str">
        <x:f>IF(AND(G87&gt;=0,I87&gt;=0,I87&lt;=G87),"OK","CHECK")</x:f>
        <x:v>OK</x:v>
      </x:c>
      <x:c r="M87" s="18" t="str">
        <x:f>IF(COUNTIF(ProductionReference!$A$5:$A$74,J87)=1,"OK","LINK ERROR")</x:f>
        <x:v>OK</x:v>
      </x:c>
      <x:c r="N87" s="18" t="str">
        <x:f>IF(F87=INDEX(ProductionReference!$D$5:$D$74,MATCH(J87,ProductionReference!$A$5:$A$74,0)),"OK","SHIFT MISMATCH")</x:f>
        <x:v>OK</x:v>
      </x:c>
      <x:c r="O87" s="18" t="str">
        <x:f>IF(COUNTIFS($A$5:$A$149,A87,$B$5:$B$149,B87,$C$5:$C$149,C87,$D$5:$D$149,D87,$E$5:$E$149,E87,$H$5:$H$149,H87)=1,"OK","DUPLICATE")</x:f>
        <x:v>OK</x:v>
      </x:c>
      <x:c r="P87" s="18" t="n">
        <x:f>COUNTIF($K$5:$K$149,K87)</x:f>
        <x:v>1</x:v>
      </x:c>
    </x:row>
    <x:row r="88">
      <x:c r="A88" s="13" t="str">
        <x:v>KG01</x:v>
      </x:c>
      <x:c r="B88" s="13" t="n">
        <x:v>23</x:v>
      </x:c>
      <x:c r="C88" s="20" t="n">
        <x:v>45955</x:v>
      </x:c>
      <x:c r="D88" s="13" t="str">
        <x:v>ORD-2025-00093</x:v>
      </x:c>
      <x:c r="E88" s="13" t="n">
        <x:v>23</x:v>
      </x:c>
      <x:c r="F88" s="13" t="str">
        <x:v>PM</x:v>
      </x:c>
      <x:c r="G88" s="16" t="n">
        <x:v>100</x:v>
      </x:c>
      <x:c r="H88" s="16" t="str">
        <x:v>Chip</x:v>
      </x:c>
      <x:c r="I88" s="16" t="n">
        <x:v>2</x:v>
      </x:c>
      <x:c r="J88" s="18" t="str">
        <x:v>PE000040</x:v>
      </x:c>
      <x:c r="K88" s="18" t="str">
        <x:f>A88&amp;"|"&amp;B88&amp;"|"&amp;C88&amp;"|"&amp;D88&amp;"|"&amp;E88</x:f>
        <x:v>KG01|23|45955|ORD-2025-00093|23</x:v>
      </x:c>
      <x:c r="L88" s="18" t="str">
        <x:f>IF(AND(G88&gt;=0,I88&gt;=0,I88&lt;=G88),"OK","CHECK")</x:f>
        <x:v>OK</x:v>
      </x:c>
      <x:c r="M88" s="18" t="str">
        <x:f>IF(COUNTIF(ProductionReference!$A$5:$A$74,J88)=1,"OK","LINK ERROR")</x:f>
        <x:v>OK</x:v>
      </x:c>
      <x:c r="N88" s="18" t="str">
        <x:f>IF(F88=INDEX(ProductionReference!$D$5:$D$74,MATCH(J88,ProductionReference!$A$5:$A$74,0)),"OK","SHIFT MISMATCH")</x:f>
        <x:v>OK</x:v>
      </x:c>
      <x:c r="O88" s="18" t="str">
        <x:f>IF(COUNTIFS($A$5:$A$149,A88,$B$5:$B$149,B88,$C$5:$C$149,C88,$D$5:$D$149,D88,$E$5:$E$149,E88,$H$5:$H$149,H88)=1,"OK","DUPLICATE")</x:f>
        <x:v>OK</x:v>
      </x:c>
      <x:c r="P88" s="18" t="n">
        <x:f>COUNTIF($K$5:$K$149,K88)</x:f>
        <x:v>1</x:v>
      </x:c>
    </x:row>
    <x:row r="89">
      <x:c r="A89" s="13" t="str">
        <x:v>KG01</x:v>
      </x:c>
      <x:c r="B89" s="13" t="n">
        <x:v>23</x:v>
      </x:c>
      <x:c r="C89" s="20" t="n">
        <x:v>45956</x:v>
      </x:c>
      <x:c r="D89" s="13" t="str">
        <x:v>ORD-2025-00094</x:v>
      </x:c>
      <x:c r="E89" s="13" t="n">
        <x:v>7</x:v>
      </x:c>
      <x:c r="F89" s="13" t="str">
        <x:v>AM</x:v>
      </x:c>
      <x:c r="G89" s="16" t="n">
        <x:v>200</x:v>
      </x:c>
      <x:c r="H89" s="16" t="str">
        <x:v>Overpress</x:v>
      </x:c>
      <x:c r="I89" s="16" t="n">
        <x:v>17</x:v>
      </x:c>
      <x:c r="J89" s="18" t="str">
        <x:v>PE000041</x:v>
      </x:c>
      <x:c r="K89" s="18" t="str">
        <x:f>A89&amp;"|"&amp;B89&amp;"|"&amp;C89&amp;"|"&amp;D89&amp;"|"&amp;E89</x:f>
        <x:v>KG01|23|45956|ORD-2025-00094|7</x:v>
      </x:c>
      <x:c r="L89" s="18" t="str">
        <x:f>IF(AND(G89&gt;=0,I89&gt;=0,I89&lt;=G89),"OK","CHECK")</x:f>
        <x:v>OK</x:v>
      </x:c>
      <x:c r="M89" s="18" t="str">
        <x:f>IF(COUNTIF(ProductionReference!$A$5:$A$74,J89)=1,"OK","LINK ERROR")</x:f>
        <x:v>OK</x:v>
      </x:c>
      <x:c r="N89" s="18" t="str">
        <x:f>IF(F89=INDEX(ProductionReference!$D$5:$D$74,MATCH(J89,ProductionReference!$A$5:$A$74,0)),"OK","SHIFT MISMATCH")</x:f>
        <x:v>OK</x:v>
      </x:c>
      <x:c r="O89" s="18" t="str">
        <x:f>IF(COUNTIFS($A$5:$A$149,A89,$B$5:$B$149,B89,$C$5:$C$149,C89,$D$5:$D$149,D89,$E$5:$E$149,E89,$H$5:$H$149,H89)=1,"OK","DUPLICATE")</x:f>
        <x:v>OK</x:v>
      </x:c>
      <x:c r="P89" s="18" t="n">
        <x:f>COUNTIF($K$5:$K$149,K89)</x:f>
        <x:v>1</x:v>
      </x:c>
    </x:row>
    <x:row r="90">
      <x:c r="A90" s="13" t="str">
        <x:v>KG01</x:v>
      </x:c>
      <x:c r="B90" s="13" t="n">
        <x:v>23</x:v>
      </x:c>
      <x:c r="C90" s="20" t="n">
        <x:v>45956</x:v>
      </x:c>
      <x:c r="D90" s="13" t="str">
        <x:v>ORD-2025-00094</x:v>
      </x:c>
      <x:c r="E90" s="13" t="n">
        <x:v>12</x:v>
      </x:c>
      <x:c r="F90" s="13" t="str">
        <x:v>AM</x:v>
      </x:c>
      <x:c r="G90" s="16" t="n">
        <x:v>150</x:v>
      </x:c>
      <x:c r="H90" s="16" t="str">
        <x:v>Crack</x:v>
      </x:c>
      <x:c r="I90" s="16" t="n">
        <x:v>11</x:v>
      </x:c>
      <x:c r="J90" s="18" t="str">
        <x:v>PE000041</x:v>
      </x:c>
      <x:c r="K90" s="18" t="str">
        <x:f>A90&amp;"|"&amp;B90&amp;"|"&amp;C90&amp;"|"&amp;D90&amp;"|"&amp;E90</x:f>
        <x:v>KG01|23|45956|ORD-2025-00094|12</x:v>
      </x:c>
      <x:c r="L90" s="18" t="str">
        <x:f>IF(AND(G90&gt;=0,I90&gt;=0,I90&lt;=G90),"OK","CHECK")</x:f>
        <x:v>OK</x:v>
      </x:c>
      <x:c r="M90" s="18" t="str">
        <x:f>IF(COUNTIF(ProductionReference!$A$5:$A$74,J90)=1,"OK","LINK ERROR")</x:f>
        <x:v>OK</x:v>
      </x:c>
      <x:c r="N90" s="18" t="str">
        <x:f>IF(F90=INDEX(ProductionReference!$D$5:$D$74,MATCH(J90,ProductionReference!$A$5:$A$74,0)),"OK","SHIFT MISMATCH")</x:f>
        <x:v>OK</x:v>
      </x:c>
      <x:c r="O90" s="18" t="str">
        <x:f>IF(COUNTIFS($A$5:$A$149,A90,$B$5:$B$149,B90,$C$5:$C$149,C90,$D$5:$D$149,D90,$E$5:$E$149,E90,$H$5:$H$149,H90)=1,"OK","DUPLICATE")</x:f>
        <x:v>OK</x:v>
      </x:c>
      <x:c r="P90" s="18" t="n">
        <x:f>COUNTIF($K$5:$K$149,K90)</x:f>
        <x:v>1</x:v>
      </x:c>
    </x:row>
    <x:row r="91">
      <x:c r="A91" s="13" t="str">
        <x:v>KG01</x:v>
      </x:c>
      <x:c r="B91" s="13" t="n">
        <x:v>23</x:v>
      </x:c>
      <x:c r="C91" s="20" t="n">
        <x:v>45956</x:v>
      </x:c>
      <x:c r="D91" s="13" t="str">
        <x:v>ORD-2025-00094</x:v>
      </x:c>
      <x:c r="E91" s="13" t="n">
        <x:v>16</x:v>
      </x:c>
      <x:c r="F91" s="13" t="str">
        <x:v>AM</x:v>
      </x:c>
      <x:c r="G91" s="16" t="n">
        <x:v>200</x:v>
      </x:c>
      <x:c r="H91" s="16" t="str">
        <x:v>Bird Swing</x:v>
      </x:c>
      <x:c r="I91" s="16" t="n">
        <x:v>10</x:v>
      </x:c>
      <x:c r="J91" s="18" t="str">
        <x:v>PE000041</x:v>
      </x:c>
      <x:c r="K91" s="18" t="str">
        <x:f>A91&amp;"|"&amp;B91&amp;"|"&amp;C91&amp;"|"&amp;D91&amp;"|"&amp;E91</x:f>
        <x:v>KG01|23|45956|ORD-2025-00094|16</x:v>
      </x:c>
      <x:c r="L91" s="18" t="str">
        <x:f>IF(AND(G91&gt;=0,I91&gt;=0,I91&lt;=G91),"OK","CHECK")</x:f>
        <x:v>OK</x:v>
      </x:c>
      <x:c r="M91" s="18" t="str">
        <x:f>IF(COUNTIF(ProductionReference!$A$5:$A$74,J91)=1,"OK","LINK ERROR")</x:f>
        <x:v>OK</x:v>
      </x:c>
      <x:c r="N91" s="18" t="str">
        <x:f>IF(F91=INDEX(ProductionReference!$D$5:$D$74,MATCH(J91,ProductionReference!$A$5:$A$74,0)),"OK","SHIFT MISMATCH")</x:f>
        <x:v>OK</x:v>
      </x:c>
      <x:c r="O91" s="18" t="str">
        <x:f>IF(COUNTIFS($A$5:$A$149,A91,$B$5:$B$149,B91,$C$5:$C$149,C91,$D$5:$D$149,D91,$E$5:$E$149,E91,$H$5:$H$149,H91)=1,"OK","DUPLICATE")</x:f>
        <x:v>OK</x:v>
      </x:c>
      <x:c r="P91" s="18" t="n">
        <x:f>COUNTIF($K$5:$K$149,K91)</x:f>
        <x:v>1</x:v>
      </x:c>
    </x:row>
    <x:row r="92">
      <x:c r="A92" s="13" t="str">
        <x:v>KG01</x:v>
      </x:c>
      <x:c r="B92" s="13" t="n">
        <x:v>23</x:v>
      </x:c>
      <x:c r="C92" s="20" t="n">
        <x:v>45956</x:v>
      </x:c>
      <x:c r="D92" s="13" t="str">
        <x:v>ORD-2025-00094</x:v>
      </x:c>
      <x:c r="E92" s="13" t="n">
        <x:v>20</x:v>
      </x:c>
      <x:c r="F92" s="13" t="str">
        <x:v>PM</x:v>
      </x:c>
      <x:c r="G92" s="16" t="n">
        <x:v>200</x:v>
      </x:c>
      <x:c r="H92" s="16" t="str">
        <x:v>Overpress</x:v>
      </x:c>
      <x:c r="I92" s="16" t="n">
        <x:v>7</x:v>
      </x:c>
      <x:c r="J92" s="18" t="str">
        <x:v>PE000042</x:v>
      </x:c>
      <x:c r="K92" s="18" t="str">
        <x:f>A92&amp;"|"&amp;B92&amp;"|"&amp;C92&amp;"|"&amp;D92&amp;"|"&amp;E92</x:f>
        <x:v>KG01|23|45956|ORD-2025-00094|20</x:v>
      </x:c>
      <x:c r="L92" s="18" t="str">
        <x:f>IF(AND(G92&gt;=0,I92&gt;=0,I92&lt;=G92),"OK","CHECK")</x:f>
        <x:v>OK</x:v>
      </x:c>
      <x:c r="M92" s="18" t="str">
        <x:f>IF(COUNTIF(ProductionReference!$A$5:$A$74,J92)=1,"OK","LINK ERROR")</x:f>
        <x:v>OK</x:v>
      </x:c>
      <x:c r="N92" s="18" t="str">
        <x:f>IF(F92=INDEX(ProductionReference!$D$5:$D$74,MATCH(J92,ProductionReference!$A$5:$A$74,0)),"OK","SHIFT MISMATCH")</x:f>
        <x:v>OK</x:v>
      </x:c>
      <x:c r="O92" s="18" t="str">
        <x:f>IF(COUNTIFS($A$5:$A$149,A92,$B$5:$B$149,B92,$C$5:$C$149,C92,$D$5:$D$149,D92,$E$5:$E$149,E92,$H$5:$H$149,H92)=1,"OK","DUPLICATE")</x:f>
        <x:v>OK</x:v>
      </x:c>
      <x:c r="P92" s="18" t="n">
        <x:f>COUNTIF($K$5:$K$149,K92)</x:f>
        <x:v>1</x:v>
      </x:c>
    </x:row>
    <x:row r="93">
      <x:c r="A93" s="13" t="str">
        <x:v>KG01</x:v>
      </x:c>
      <x:c r="B93" s="13" t="n">
        <x:v>23</x:v>
      </x:c>
      <x:c r="C93" s="20" t="n">
        <x:v>45956</x:v>
      </x:c>
      <x:c r="D93" s="13" t="str">
        <x:v>ORD-2025-00094</x:v>
      </x:c>
      <x:c r="E93" s="13" t="n">
        <x:v>23</x:v>
      </x:c>
      <x:c r="F93" s="13" t="str">
        <x:v>PM</x:v>
      </x:c>
      <x:c r="G93" s="16" t="n">
        <x:v>100</x:v>
      </x:c>
      <x:c r="H93" s="16" t="str">
        <x:v>Thin Wall</x:v>
      </x:c>
      <x:c r="I93" s="16" t="n">
        <x:v>2</x:v>
      </x:c>
      <x:c r="J93" s="18" t="str">
        <x:v>PE000042</x:v>
      </x:c>
      <x:c r="K93" s="18" t="str">
        <x:f>A93&amp;"|"&amp;B93&amp;"|"&amp;C93&amp;"|"&amp;D93&amp;"|"&amp;E93</x:f>
        <x:v>KG01|23|45956|ORD-2025-00094|23</x:v>
      </x:c>
      <x:c r="L93" s="18" t="str">
        <x:f>IF(AND(G93&gt;=0,I93&gt;=0,I93&lt;=G93),"OK","CHECK")</x:f>
        <x:v>OK</x:v>
      </x:c>
      <x:c r="M93" s="18" t="str">
        <x:f>IF(COUNTIF(ProductionReference!$A$5:$A$74,J93)=1,"OK","LINK ERROR")</x:f>
        <x:v>OK</x:v>
      </x:c>
      <x:c r="N93" s="18" t="str">
        <x:f>IF(F93=INDEX(ProductionReference!$D$5:$D$74,MATCH(J93,ProductionReference!$A$5:$A$74,0)),"OK","SHIFT MISMATCH")</x:f>
        <x:v>OK</x:v>
      </x:c>
      <x:c r="O93" s="18" t="str">
        <x:f>IF(COUNTIFS($A$5:$A$149,A93,$B$5:$B$149,B93,$C$5:$C$149,C93,$D$5:$D$149,D93,$E$5:$E$149,E93,$H$5:$H$149,H93)=1,"OK","DUPLICATE")</x:f>
        <x:v>OK</x:v>
      </x:c>
      <x:c r="P93" s="18" t="n">
        <x:f>COUNTIF($K$5:$K$149,K93)</x:f>
        <x:v>1</x:v>
      </x:c>
    </x:row>
    <x:row r="94">
      <x:c r="A94" s="13" t="str">
        <x:v>KG01</x:v>
      </x:c>
      <x:c r="B94" s="13" t="n">
        <x:v>24</x:v>
      </x:c>
      <x:c r="C94" s="20" t="n">
        <x:v>45950</x:v>
      </x:c>
      <x:c r="D94" s="13" t="str">
        <x:v>ORD-2025-00124</x:v>
      </x:c>
      <x:c r="E94" s="13" t="n">
        <x:v>9</x:v>
      </x:c>
      <x:c r="F94" s="13" t="str">
        <x:v>AM</x:v>
      </x:c>
      <x:c r="G94" s="16" t="n">
        <x:v>200</x:v>
      </x:c>
      <x:c r="H94" s="16" t="str">
        <x:v>Blister</x:v>
      </x:c>
      <x:c r="I94" s="16" t="n">
        <x:v>4</x:v>
      </x:c>
      <x:c r="J94" s="18" t="str">
        <x:v>PE000043</x:v>
      </x:c>
      <x:c r="K94" s="18" t="str">
        <x:f>A94&amp;"|"&amp;B94&amp;"|"&amp;C94&amp;"|"&amp;D94&amp;"|"&amp;E94</x:f>
        <x:v>KG01|24|45950|ORD-2025-00124|9</x:v>
      </x:c>
      <x:c r="L94" s="18" t="str">
        <x:f>IF(AND(G94&gt;=0,I94&gt;=0,I94&lt;=G94),"OK","CHECK")</x:f>
        <x:v>OK</x:v>
      </x:c>
      <x:c r="M94" s="18" t="str">
        <x:f>IF(COUNTIF(ProductionReference!$A$5:$A$74,J94)=1,"OK","LINK ERROR")</x:f>
        <x:v>OK</x:v>
      </x:c>
      <x:c r="N94" s="18" t="str">
        <x:f>IF(F94=INDEX(ProductionReference!$D$5:$D$74,MATCH(J94,ProductionReference!$A$5:$A$74,0)),"OK","SHIFT MISMATCH")</x:f>
        <x:v>OK</x:v>
      </x:c>
      <x:c r="O94" s="18" t="str">
        <x:f>IF(COUNTIFS($A$5:$A$149,A94,$B$5:$B$149,B94,$C$5:$C$149,C94,$D$5:$D$149,D94,$E$5:$E$149,E94,$H$5:$H$149,H94)=1,"OK","DUPLICATE")</x:f>
        <x:v>OK</x:v>
      </x:c>
      <x:c r="P94" s="18" t="n">
        <x:f>COUNTIF($K$5:$K$149,K94)</x:f>
        <x:v>1</x:v>
      </x:c>
    </x:row>
    <x:row r="95">
      <x:c r="A95" s="13" t="str">
        <x:v>KG01</x:v>
      </x:c>
      <x:c r="B95" s="13" t="n">
        <x:v>24</x:v>
      </x:c>
      <x:c r="C95" s="20" t="n">
        <x:v>45950</x:v>
      </x:c>
      <x:c r="D95" s="13" t="str">
        <x:v>ORD-2025-00124</x:v>
      </x:c>
      <x:c r="E95" s="13" t="n">
        <x:v>15</x:v>
      </x:c>
      <x:c r="F95" s="13" t="str">
        <x:v>AM</x:v>
      </x:c>
      <x:c r="G95" s="16" t="n">
        <x:v>200</x:v>
      </x:c>
      <x:c r="H95" s="16" t="str">
        <x:v>Crack</x:v>
      </x:c>
      <x:c r="I95" s="16" t="n">
        <x:v>1</x:v>
      </x:c>
      <x:c r="J95" s="18" t="str">
        <x:v>PE000043</x:v>
      </x:c>
      <x:c r="K95" s="18" t="str">
        <x:f>A95&amp;"|"&amp;B95&amp;"|"&amp;C95&amp;"|"&amp;D95&amp;"|"&amp;E95</x:f>
        <x:v>KG01|24|45950|ORD-2025-00124|15</x:v>
      </x:c>
      <x:c r="L95" s="18" t="str">
        <x:f>IF(AND(G95&gt;=0,I95&gt;=0,I95&lt;=G95),"OK","CHECK")</x:f>
        <x:v>OK</x:v>
      </x:c>
      <x:c r="M95" s="18" t="str">
        <x:f>IF(COUNTIF(ProductionReference!$A$5:$A$74,J95)=1,"OK","LINK ERROR")</x:f>
        <x:v>OK</x:v>
      </x:c>
      <x:c r="N95" s="18" t="str">
        <x:f>IF(F95=INDEX(ProductionReference!$D$5:$D$74,MATCH(J95,ProductionReference!$A$5:$A$74,0)),"OK","SHIFT MISMATCH")</x:f>
        <x:v>OK</x:v>
      </x:c>
      <x:c r="O95" s="18" t="str">
        <x:f>IF(COUNTIFS($A$5:$A$149,A95,$B$5:$B$149,B95,$C$5:$C$149,C95,$D$5:$D$149,D95,$E$5:$E$149,E95,$H$5:$H$149,H95)=1,"OK","DUPLICATE")</x:f>
        <x:v>OK</x:v>
      </x:c>
      <x:c r="P95" s="18" t="n">
        <x:f>COUNTIF($K$5:$K$149,K95)</x:f>
        <x:v>1</x:v>
      </x:c>
    </x:row>
    <x:row r="96">
      <x:c r="A96" s="13" t="str">
        <x:v>KG01</x:v>
      </x:c>
      <x:c r="B96" s="13" t="n">
        <x:v>24</x:v>
      </x:c>
      <x:c r="C96" s="20" t="n">
        <x:v>45950</x:v>
      </x:c>
      <x:c r="D96" s="13" t="str">
        <x:v>ORD-2025-00124</x:v>
      </x:c>
      <x:c r="E96" s="13" t="n">
        <x:v>20</x:v>
      </x:c>
      <x:c r="F96" s="13" t="str">
        <x:v>PM</x:v>
      </x:c>
      <x:c r="G96" s="16" t="n">
        <x:v>150</x:v>
      </x:c>
      <x:c r="H96" s="16" t="str">
        <x:v>Thin Wall</x:v>
      </x:c>
      <x:c r="I96" s="16" t="n">
        <x:v>2</x:v>
      </x:c>
      <x:c r="J96" s="18" t="str">
        <x:v>PE000044</x:v>
      </x:c>
      <x:c r="K96" s="18" t="str">
        <x:f>A96&amp;"|"&amp;B96&amp;"|"&amp;C96&amp;"|"&amp;D96&amp;"|"&amp;E96</x:f>
        <x:v>KG01|24|45950|ORD-2025-00124|20</x:v>
      </x:c>
      <x:c r="L96" s="18" t="str">
        <x:f>IF(AND(G96&gt;=0,I96&gt;=0,I96&lt;=G96),"OK","CHECK")</x:f>
        <x:v>OK</x:v>
      </x:c>
      <x:c r="M96" s="18" t="str">
        <x:f>IF(COUNTIF(ProductionReference!$A$5:$A$74,J96)=1,"OK","LINK ERROR")</x:f>
        <x:v>OK</x:v>
      </x:c>
      <x:c r="N96" s="18" t="str">
        <x:f>IF(F96=INDEX(ProductionReference!$D$5:$D$74,MATCH(J96,ProductionReference!$A$5:$A$74,0)),"OK","SHIFT MISMATCH")</x:f>
        <x:v>OK</x:v>
      </x:c>
      <x:c r="O96" s="18" t="str">
        <x:f>IF(COUNTIFS($A$5:$A$149,A96,$B$5:$B$149,B96,$C$5:$C$149,C96,$D$5:$D$149,D96,$E$5:$E$149,E96,$H$5:$H$149,H96)=1,"OK","DUPLICATE")</x:f>
        <x:v>OK</x:v>
      </x:c>
      <x:c r="P96" s="18" t="n">
        <x:f>COUNTIF($K$5:$K$149,K96)</x:f>
        <x:v>1</x:v>
      </x:c>
    </x:row>
    <x:row r="97">
      <x:c r="A97" s="13" t="str">
        <x:v>KG01</x:v>
      </x:c>
      <x:c r="B97" s="13" t="n">
        <x:v>24</x:v>
      </x:c>
      <x:c r="C97" s="20" t="n">
        <x:v>45950</x:v>
      </x:c>
      <x:c r="D97" s="13" t="str">
        <x:v>ORD-2025-00124</x:v>
      </x:c>
      <x:c r="E97" s="13" t="n">
        <x:v>23</x:v>
      </x:c>
      <x:c r="F97" s="13" t="str">
        <x:v>PM</x:v>
      </x:c>
      <x:c r="G97" s="16" t="n">
        <x:v>150</x:v>
      </x:c>
      <x:c r="H97" s="16" t="str">
        <x:v>Stone</x:v>
      </x:c>
      <x:c r="I97" s="16" t="n">
        <x:v>3</x:v>
      </x:c>
      <x:c r="J97" s="18" t="str">
        <x:v>PE000044</x:v>
      </x:c>
      <x:c r="K97" s="18" t="str">
        <x:f>A97&amp;"|"&amp;B97&amp;"|"&amp;C97&amp;"|"&amp;D97&amp;"|"&amp;E97</x:f>
        <x:v>KG01|24|45950|ORD-2025-00124|23</x:v>
      </x:c>
      <x:c r="L97" s="18" t="str">
        <x:f>IF(AND(G97&gt;=0,I97&gt;=0,I97&lt;=G97),"OK","CHECK")</x:f>
        <x:v>OK</x:v>
      </x:c>
      <x:c r="M97" s="18" t="str">
        <x:f>IF(COUNTIF(ProductionReference!$A$5:$A$74,J97)=1,"OK","LINK ERROR")</x:f>
        <x:v>OK</x:v>
      </x:c>
      <x:c r="N97" s="18" t="str">
        <x:f>IF(F97=INDEX(ProductionReference!$D$5:$D$74,MATCH(J97,ProductionReference!$A$5:$A$74,0)),"OK","SHIFT MISMATCH")</x:f>
        <x:v>OK</x:v>
      </x:c>
      <x:c r="O97" s="18" t="str">
        <x:f>IF(COUNTIFS($A$5:$A$149,A97,$B$5:$B$149,B97,$C$5:$C$149,C97,$D$5:$D$149,D97,$E$5:$E$149,E97,$H$5:$H$149,H97)=1,"OK","DUPLICATE")</x:f>
        <x:v>OK</x:v>
      </x:c>
      <x:c r="P97" s="18" t="n">
        <x:f>COUNTIF($K$5:$K$149,K97)</x:f>
        <x:v>1</x:v>
      </x:c>
    </x:row>
    <x:row r="98">
      <x:c r="A98" s="13" t="str">
        <x:v>KG01</x:v>
      </x:c>
      <x:c r="B98" s="13" t="n">
        <x:v>24</x:v>
      </x:c>
      <x:c r="C98" s="20" t="n">
        <x:v>45951</x:v>
      </x:c>
      <x:c r="D98" s="13" t="str">
        <x:v>ORD-2025-00125</x:v>
      </x:c>
      <x:c r="E98" s="13" t="n">
        <x:v>9</x:v>
      </x:c>
      <x:c r="F98" s="13" t="str">
        <x:v>AM</x:v>
      </x:c>
      <x:c r="G98" s="16" t="n">
        <x:v>50</x:v>
      </x:c>
      <x:c r="H98" s="16" t="str">
        <x:v>Thin Wall</x:v>
      </x:c>
      <x:c r="I98" s="16" t="n">
        <x:v>1</x:v>
      </x:c>
      <x:c r="J98" s="18" t="str">
        <x:v>PE000045</x:v>
      </x:c>
      <x:c r="K98" s="18" t="str">
        <x:f>A98&amp;"|"&amp;B98&amp;"|"&amp;C98&amp;"|"&amp;D98&amp;"|"&amp;E98</x:f>
        <x:v>KG01|24|45951|ORD-2025-00125|9</x:v>
      </x:c>
      <x:c r="L98" s="18" t="str">
        <x:f>IF(AND(G98&gt;=0,I98&gt;=0,I98&lt;=G98),"OK","CHECK")</x:f>
        <x:v>OK</x:v>
      </x:c>
      <x:c r="M98" s="18" t="str">
        <x:f>IF(COUNTIF(ProductionReference!$A$5:$A$74,J98)=1,"OK","LINK ERROR")</x:f>
        <x:v>OK</x:v>
      </x:c>
      <x:c r="N98" s="18" t="str">
        <x:f>IF(F98=INDEX(ProductionReference!$D$5:$D$74,MATCH(J98,ProductionReference!$A$5:$A$74,0)),"OK","SHIFT MISMATCH")</x:f>
        <x:v>OK</x:v>
      </x:c>
      <x:c r="O98" s="18" t="str">
        <x:f>IF(COUNTIFS($A$5:$A$149,A98,$B$5:$B$149,B98,$C$5:$C$149,C98,$D$5:$D$149,D98,$E$5:$E$149,E98,$H$5:$H$149,H98)=1,"OK","DUPLICATE")</x:f>
        <x:v>OK</x:v>
      </x:c>
      <x:c r="P98" s="18" t="n">
        <x:f>COUNTIF($K$5:$K$149,K98)</x:f>
        <x:v>1</x:v>
      </x:c>
    </x:row>
    <x:row r="99">
      <x:c r="A99" s="13" t="str">
        <x:v>KG01</x:v>
      </x:c>
      <x:c r="B99" s="13" t="n">
        <x:v>24</x:v>
      </x:c>
      <x:c r="C99" s="20" t="n">
        <x:v>45951</x:v>
      </x:c>
      <x:c r="D99" s="13" t="str">
        <x:v>ORD-2025-00125</x:v>
      </x:c>
      <x:c r="E99" s="13" t="n">
        <x:v>15</x:v>
      </x:c>
      <x:c r="F99" s="13" t="str">
        <x:v>AM</x:v>
      </x:c>
      <x:c r="G99" s="16" t="n">
        <x:v>50</x:v>
      </x:c>
      <x:c r="H99" s="16" t="str">
        <x:v>Overpress</x:v>
      </x:c>
      <x:c r="I99" s="16" t="n">
        <x:v>0</x:v>
      </x:c>
      <x:c r="J99" s="18" t="str">
        <x:v>PE000045</x:v>
      </x:c>
      <x:c r="K99" s="18" t="str">
        <x:f>A99&amp;"|"&amp;B99&amp;"|"&amp;C99&amp;"|"&amp;D99&amp;"|"&amp;E99</x:f>
        <x:v>KG01|24|45951|ORD-2025-00125|15</x:v>
      </x:c>
      <x:c r="L99" s="18" t="str">
        <x:f>IF(AND(G99&gt;=0,I99&gt;=0,I99&lt;=G99),"OK","CHECK")</x:f>
        <x:v>OK</x:v>
      </x:c>
      <x:c r="M99" s="18" t="str">
        <x:f>IF(COUNTIF(ProductionReference!$A$5:$A$74,J99)=1,"OK","LINK ERROR")</x:f>
        <x:v>OK</x:v>
      </x:c>
      <x:c r="N99" s="18" t="str">
        <x:f>IF(F99=INDEX(ProductionReference!$D$5:$D$74,MATCH(J99,ProductionReference!$A$5:$A$74,0)),"OK","SHIFT MISMATCH")</x:f>
        <x:v>OK</x:v>
      </x:c>
      <x:c r="O99" s="18" t="str">
        <x:f>IF(COUNTIFS($A$5:$A$149,A99,$B$5:$B$149,B99,$C$5:$C$149,C99,$D$5:$D$149,D99,$E$5:$E$149,E99,$H$5:$H$149,H99)=1,"OK","DUPLICATE")</x:f>
        <x:v>OK</x:v>
      </x:c>
      <x:c r="P99" s="18" t="n">
        <x:f>COUNTIF($K$5:$K$149,K99)</x:f>
        <x:v>1</x:v>
      </x:c>
    </x:row>
    <x:row r="100">
      <x:c r="A100" s="13" t="str">
        <x:v>KG01</x:v>
      </x:c>
      <x:c r="B100" s="13" t="n">
        <x:v>24</x:v>
      </x:c>
      <x:c r="C100" s="20" t="n">
        <x:v>45951</x:v>
      </x:c>
      <x:c r="D100" s="13" t="str">
        <x:v>ORD-2025-00125</x:v>
      </x:c>
      <x:c r="E100" s="13" t="n">
        <x:v>20</x:v>
      </x:c>
      <x:c r="F100" s="13" t="str">
        <x:v>PM</x:v>
      </x:c>
      <x:c r="G100" s="16" t="n">
        <x:v>50</x:v>
      </x:c>
      <x:c r="H100" s="16" t="str">
        <x:v>Bird Swing</x:v>
      </x:c>
      <x:c r="I100" s="16" t="n">
        <x:v>2</x:v>
      </x:c>
      <x:c r="J100" s="18" t="str">
        <x:v>PE000046</x:v>
      </x:c>
      <x:c r="K100" s="18" t="str">
        <x:f>A100&amp;"|"&amp;B100&amp;"|"&amp;C100&amp;"|"&amp;D100&amp;"|"&amp;E100</x:f>
        <x:v>KG01|24|45951|ORD-2025-00125|20</x:v>
      </x:c>
      <x:c r="L100" s="18" t="str">
        <x:f>IF(AND(G100&gt;=0,I100&gt;=0,I100&lt;=G100),"OK","CHECK")</x:f>
        <x:v>OK</x:v>
      </x:c>
      <x:c r="M100" s="18" t="str">
        <x:f>IF(COUNTIF(ProductionReference!$A$5:$A$74,J100)=1,"OK","LINK ERROR")</x:f>
        <x:v>OK</x:v>
      </x:c>
      <x:c r="N100" s="18" t="str">
        <x:f>IF(F100=INDEX(ProductionReference!$D$5:$D$74,MATCH(J100,ProductionReference!$A$5:$A$74,0)),"OK","SHIFT MISMATCH")</x:f>
        <x:v>OK</x:v>
      </x:c>
      <x:c r="O100" s="18" t="str">
        <x:f>IF(COUNTIFS($A$5:$A$149,A100,$B$5:$B$149,B100,$C$5:$C$149,C100,$D$5:$D$149,D100,$E$5:$E$149,E100,$H$5:$H$149,H100)=1,"OK","DUPLICATE")</x:f>
        <x:v>OK</x:v>
      </x:c>
      <x:c r="P100" s="18" t="n">
        <x:f>COUNTIF($K$5:$K$149,K100)</x:f>
        <x:v>1</x:v>
      </x:c>
    </x:row>
    <x:row r="101">
      <x:c r="A101" s="13" t="str">
        <x:v>KG01</x:v>
      </x:c>
      <x:c r="B101" s="13" t="n">
        <x:v>24</x:v>
      </x:c>
      <x:c r="C101" s="20" t="n">
        <x:v>45951</x:v>
      </x:c>
      <x:c r="D101" s="13" t="str">
        <x:v>ORD-2025-00125</x:v>
      </x:c>
      <x:c r="E101" s="13" t="n">
        <x:v>23</x:v>
      </x:c>
      <x:c r="F101" s="13" t="str">
        <x:v>PM</x:v>
      </x:c>
      <x:c r="G101" s="16" t="n">
        <x:v>100</x:v>
      </x:c>
      <x:c r="H101" s="16" t="str">
        <x:v>Chip</x:v>
      </x:c>
      <x:c r="I101" s="16" t="n">
        <x:v>1</x:v>
      </x:c>
      <x:c r="J101" s="18" t="str">
        <x:v>PE000046</x:v>
      </x:c>
      <x:c r="K101" s="18" t="str">
        <x:f>A101&amp;"|"&amp;B101&amp;"|"&amp;C101&amp;"|"&amp;D101&amp;"|"&amp;E101</x:f>
        <x:v>KG01|24|45951|ORD-2025-00125|23</x:v>
      </x:c>
      <x:c r="L101" s="18" t="str">
        <x:f>IF(AND(G101&gt;=0,I101&gt;=0,I101&lt;=G101),"OK","CHECK")</x:f>
        <x:v>OK</x:v>
      </x:c>
      <x:c r="M101" s="18" t="str">
        <x:f>IF(COUNTIF(ProductionReference!$A$5:$A$74,J101)=1,"OK","LINK ERROR")</x:f>
        <x:v>OK</x:v>
      </x:c>
      <x:c r="N101" s="18" t="str">
        <x:f>IF(F101=INDEX(ProductionReference!$D$5:$D$74,MATCH(J101,ProductionReference!$A$5:$A$74,0)),"OK","SHIFT MISMATCH")</x:f>
        <x:v>OK</x:v>
      </x:c>
      <x:c r="O101" s="18" t="str">
        <x:f>IF(COUNTIFS($A$5:$A$149,A101,$B$5:$B$149,B101,$C$5:$C$149,C101,$D$5:$D$149,D101,$E$5:$E$149,E101,$H$5:$H$149,H101)=1,"OK","DUPLICATE")</x:f>
        <x:v>OK</x:v>
      </x:c>
      <x:c r="P101" s="18" t="n">
        <x:f>COUNTIF($K$5:$K$149,K101)</x:f>
        <x:v>1</x:v>
      </x:c>
    </x:row>
    <x:row r="102">
      <x:c r="A102" s="13" t="str">
        <x:v>KG01</x:v>
      </x:c>
      <x:c r="B102" s="13" t="n">
        <x:v>24</x:v>
      </x:c>
      <x:c r="C102" s="20" t="n">
        <x:v>45952</x:v>
      </x:c>
      <x:c r="D102" s="13" t="str">
        <x:v>ORD-2025-00125</x:v>
      </x:c>
      <x:c r="E102" s="13" t="n">
        <x:v>9</x:v>
      </x:c>
      <x:c r="F102" s="13" t="str">
        <x:v>AM</x:v>
      </x:c>
      <x:c r="G102" s="16" t="n">
        <x:v>200</x:v>
      </x:c>
      <x:c r="H102" s="16" t="str">
        <x:v>Crack</x:v>
      </x:c>
      <x:c r="I102" s="16" t="n">
        <x:v>1</x:v>
      </x:c>
      <x:c r="J102" s="18" t="str">
        <x:v>PE000047</x:v>
      </x:c>
      <x:c r="K102" s="18" t="str">
        <x:f>A102&amp;"|"&amp;B102&amp;"|"&amp;C102&amp;"|"&amp;D102&amp;"|"&amp;E102</x:f>
        <x:v>KG01|24|45952|ORD-2025-00125|9</x:v>
      </x:c>
      <x:c r="L102" s="18" t="str">
        <x:f>IF(AND(G102&gt;=0,I102&gt;=0,I102&lt;=G102),"OK","CHECK")</x:f>
        <x:v>OK</x:v>
      </x:c>
      <x:c r="M102" s="18" t="str">
        <x:f>IF(COUNTIF(ProductionReference!$A$5:$A$74,J102)=1,"OK","LINK ERROR")</x:f>
        <x:v>OK</x:v>
      </x:c>
      <x:c r="N102" s="18" t="str">
        <x:f>IF(F102=INDEX(ProductionReference!$D$5:$D$74,MATCH(J102,ProductionReference!$A$5:$A$74,0)),"OK","SHIFT MISMATCH")</x:f>
        <x:v>OK</x:v>
      </x:c>
      <x:c r="O102" s="18" t="str">
        <x:f>IF(COUNTIFS($A$5:$A$149,A102,$B$5:$B$149,B102,$C$5:$C$149,C102,$D$5:$D$149,D102,$E$5:$E$149,E102,$H$5:$H$149,H102)=1,"OK","DUPLICATE")</x:f>
        <x:v>OK</x:v>
      </x:c>
      <x:c r="P102" s="18" t="n">
        <x:f>COUNTIF($K$5:$K$149,K102)</x:f>
        <x:v>1</x:v>
      </x:c>
    </x:row>
    <x:row r="103">
      <x:c r="A103" s="13" t="str">
        <x:v>KG01</x:v>
      </x:c>
      <x:c r="B103" s="13" t="n">
        <x:v>24</x:v>
      </x:c>
      <x:c r="C103" s="20" t="n">
        <x:v>45952</x:v>
      </x:c>
      <x:c r="D103" s="13" t="str">
        <x:v>ORD-2025-00125</x:v>
      </x:c>
      <x:c r="E103" s="13" t="n">
        <x:v>15</x:v>
      </x:c>
      <x:c r="F103" s="13" t="str">
        <x:v>AM</x:v>
      </x:c>
      <x:c r="G103" s="16" t="n">
        <x:v>200</x:v>
      </x:c>
      <x:c r="H103" s="16" t="str">
        <x:v>Blister</x:v>
      </x:c>
      <x:c r="I103" s="16" t="n">
        <x:v>3</x:v>
      </x:c>
      <x:c r="J103" s="18" t="str">
        <x:v>PE000047</x:v>
      </x:c>
      <x:c r="K103" s="18" t="str">
        <x:f>A103&amp;"|"&amp;B103&amp;"|"&amp;C103&amp;"|"&amp;D103&amp;"|"&amp;E103</x:f>
        <x:v>KG01|24|45952|ORD-2025-00125|15</x:v>
      </x:c>
      <x:c r="L103" s="18" t="str">
        <x:f>IF(AND(G103&gt;=0,I103&gt;=0,I103&lt;=G103),"OK","CHECK")</x:f>
        <x:v>OK</x:v>
      </x:c>
      <x:c r="M103" s="18" t="str">
        <x:f>IF(COUNTIF(ProductionReference!$A$5:$A$74,J103)=1,"OK","LINK ERROR")</x:f>
        <x:v>OK</x:v>
      </x:c>
      <x:c r="N103" s="18" t="str">
        <x:f>IF(F103=INDEX(ProductionReference!$D$5:$D$74,MATCH(J103,ProductionReference!$A$5:$A$74,0)),"OK","SHIFT MISMATCH")</x:f>
        <x:v>OK</x:v>
      </x:c>
      <x:c r="O103" s="18" t="str">
        <x:f>IF(COUNTIFS($A$5:$A$149,A103,$B$5:$B$149,B103,$C$5:$C$149,C103,$D$5:$D$149,D103,$E$5:$E$149,E103,$H$5:$H$149,H103)=1,"OK","DUPLICATE")</x:f>
        <x:v>OK</x:v>
      </x:c>
      <x:c r="P103" s="18" t="n">
        <x:f>COUNTIF($K$5:$K$149,K103)</x:f>
        <x:v>1</x:v>
      </x:c>
    </x:row>
    <x:row r="104">
      <x:c r="A104" s="13" t="str">
        <x:v>KG01</x:v>
      </x:c>
      <x:c r="B104" s="13" t="n">
        <x:v>24</x:v>
      </x:c>
      <x:c r="C104" s="20" t="n">
        <x:v>45952</x:v>
      </x:c>
      <x:c r="D104" s="13" t="str">
        <x:v>ORD-2025-00125</x:v>
      </x:c>
      <x:c r="E104" s="13" t="n">
        <x:v>20</x:v>
      </x:c>
      <x:c r="F104" s="13" t="str">
        <x:v>PM</x:v>
      </x:c>
      <x:c r="G104" s="16" t="n">
        <x:v>100</x:v>
      </x:c>
      <x:c r="H104" s="16" t="str">
        <x:v>Bird Swing</x:v>
      </x:c>
      <x:c r="I104" s="16" t="n">
        <x:v>0</x:v>
      </x:c>
      <x:c r="J104" s="18" t="str">
        <x:v>PE000048</x:v>
      </x:c>
      <x:c r="K104" s="18" t="str">
        <x:f>A104&amp;"|"&amp;B104&amp;"|"&amp;C104&amp;"|"&amp;D104&amp;"|"&amp;E104</x:f>
        <x:v>KG01|24|45952|ORD-2025-00125|20</x:v>
      </x:c>
      <x:c r="L104" s="18" t="str">
        <x:f>IF(AND(G104&gt;=0,I104&gt;=0,I104&lt;=G104),"OK","CHECK")</x:f>
        <x:v>OK</x:v>
      </x:c>
      <x:c r="M104" s="18" t="str">
        <x:f>IF(COUNTIF(ProductionReference!$A$5:$A$74,J104)=1,"OK","LINK ERROR")</x:f>
        <x:v>OK</x:v>
      </x:c>
      <x:c r="N104" s="18" t="str">
        <x:f>IF(F104=INDEX(ProductionReference!$D$5:$D$74,MATCH(J104,ProductionReference!$A$5:$A$74,0)),"OK","SHIFT MISMATCH")</x:f>
        <x:v>OK</x:v>
      </x:c>
      <x:c r="O104" s="18" t="str">
        <x:f>IF(COUNTIFS($A$5:$A$149,A104,$B$5:$B$149,B104,$C$5:$C$149,C104,$D$5:$D$149,D104,$E$5:$E$149,E104,$H$5:$H$149,H104)=1,"OK","DUPLICATE")</x:f>
        <x:v>OK</x:v>
      </x:c>
      <x:c r="P104" s="18" t="n">
        <x:f>COUNTIF($K$5:$K$149,K104)</x:f>
        <x:v>1</x:v>
      </x:c>
    </x:row>
    <x:row r="105">
      <x:c r="A105" s="13" t="str">
        <x:v>KG01</x:v>
      </x:c>
      <x:c r="B105" s="13" t="n">
        <x:v>24</x:v>
      </x:c>
      <x:c r="C105" s="20" t="n">
        <x:v>45952</x:v>
      </x:c>
      <x:c r="D105" s="13" t="str">
        <x:v>ORD-2025-00125</x:v>
      </x:c>
      <x:c r="E105" s="13" t="n">
        <x:v>23</x:v>
      </x:c>
      <x:c r="F105" s="13" t="str">
        <x:v>PM</x:v>
      </x:c>
      <x:c r="G105" s="16" t="n">
        <x:v>50</x:v>
      </x:c>
      <x:c r="H105" s="16" t="str">
        <x:v>Overpress</x:v>
      </x:c>
      <x:c r="I105" s="16" t="n">
        <x:v>0</x:v>
      </x:c>
      <x:c r="J105" s="18" t="str">
        <x:v>PE000048</x:v>
      </x:c>
      <x:c r="K105" s="18" t="str">
        <x:f>A105&amp;"|"&amp;B105&amp;"|"&amp;C105&amp;"|"&amp;D105&amp;"|"&amp;E105</x:f>
        <x:v>KG01|24|45952|ORD-2025-00125|23</x:v>
      </x:c>
      <x:c r="L105" s="18" t="str">
        <x:f>IF(AND(G105&gt;=0,I105&gt;=0,I105&lt;=G105),"OK","CHECK")</x:f>
        <x:v>OK</x:v>
      </x:c>
      <x:c r="M105" s="18" t="str">
        <x:f>IF(COUNTIF(ProductionReference!$A$5:$A$74,J105)=1,"OK","LINK ERROR")</x:f>
        <x:v>OK</x:v>
      </x:c>
      <x:c r="N105" s="18" t="str">
        <x:f>IF(F105=INDEX(ProductionReference!$D$5:$D$74,MATCH(J105,ProductionReference!$A$5:$A$74,0)),"OK","SHIFT MISMATCH")</x:f>
        <x:v>OK</x:v>
      </x:c>
      <x:c r="O105" s="18" t="str">
        <x:f>IF(COUNTIFS($A$5:$A$149,A105,$B$5:$B$149,B105,$C$5:$C$149,C105,$D$5:$D$149,D105,$E$5:$E$149,E105,$H$5:$H$149,H105)=1,"OK","DUPLICATE")</x:f>
        <x:v>OK</x:v>
      </x:c>
      <x:c r="P105" s="18" t="n">
        <x:f>COUNTIF($K$5:$K$149,K105)</x:f>
        <x:v>1</x:v>
      </x:c>
    </x:row>
    <x:row r="106">
      <x:c r="A106" s="13" t="str">
        <x:v>KG01</x:v>
      </x:c>
      <x:c r="B106" s="13" t="n">
        <x:v>24</x:v>
      </x:c>
      <x:c r="C106" s="20" t="n">
        <x:v>45953</x:v>
      </x:c>
      <x:c r="D106" s="13" t="str">
        <x:v>ORD-2025-00125</x:v>
      </x:c>
      <x:c r="E106" s="13" t="n">
        <x:v>9</x:v>
      </x:c>
      <x:c r="F106" s="13" t="str">
        <x:v>AM</x:v>
      </x:c>
      <x:c r="G106" s="16" t="n">
        <x:v>150</x:v>
      </x:c>
      <x:c r="H106" s="16" t="str">
        <x:v>Thin Wall</x:v>
      </x:c>
      <x:c r="I106" s="16" t="n">
        <x:v>4</x:v>
      </x:c>
      <x:c r="J106" s="18" t="str">
        <x:v>PE000049</x:v>
      </x:c>
      <x:c r="K106" s="18" t="str">
        <x:f>A106&amp;"|"&amp;B106&amp;"|"&amp;C106&amp;"|"&amp;D106&amp;"|"&amp;E106</x:f>
        <x:v>KG01|24|45953|ORD-2025-00125|9</x:v>
      </x:c>
      <x:c r="L106" s="18" t="str">
        <x:f>IF(AND(G106&gt;=0,I106&gt;=0,I106&lt;=G106),"OK","CHECK")</x:f>
        <x:v>OK</x:v>
      </x:c>
      <x:c r="M106" s="18" t="str">
        <x:f>IF(COUNTIF(ProductionReference!$A$5:$A$74,J106)=1,"OK","LINK ERROR")</x:f>
        <x:v>OK</x:v>
      </x:c>
      <x:c r="N106" s="18" t="str">
        <x:f>IF(F106=INDEX(ProductionReference!$D$5:$D$74,MATCH(J106,ProductionReference!$A$5:$A$74,0)),"OK","SHIFT MISMATCH")</x:f>
        <x:v>OK</x:v>
      </x:c>
      <x:c r="O106" s="18" t="str">
        <x:f>IF(COUNTIFS($A$5:$A$149,A106,$B$5:$B$149,B106,$C$5:$C$149,C106,$D$5:$D$149,D106,$E$5:$E$149,E106,$H$5:$H$149,H106)=1,"OK","DUPLICATE")</x:f>
        <x:v>OK</x:v>
      </x:c>
      <x:c r="P106" s="18" t="n">
        <x:f>COUNTIF($K$5:$K$149,K106)</x:f>
        <x:v>1</x:v>
      </x:c>
    </x:row>
    <x:row r="107">
      <x:c r="A107" s="13" t="str">
        <x:v>KG01</x:v>
      </x:c>
      <x:c r="B107" s="13" t="n">
        <x:v>24</x:v>
      </x:c>
      <x:c r="C107" s="20" t="n">
        <x:v>45953</x:v>
      </x:c>
      <x:c r="D107" s="13" t="str">
        <x:v>ORD-2025-00125</x:v>
      </x:c>
      <x:c r="E107" s="13" t="n">
        <x:v>15</x:v>
      </x:c>
      <x:c r="F107" s="13" t="str">
        <x:v>AM</x:v>
      </x:c>
      <x:c r="G107" s="16" t="n">
        <x:v>150</x:v>
      </x:c>
      <x:c r="H107" s="16" t="str">
        <x:v>Choke Neck</x:v>
      </x:c>
      <x:c r="I107" s="16" t="n">
        <x:v>5</x:v>
      </x:c>
      <x:c r="J107" s="18" t="str">
        <x:v>PE000049</x:v>
      </x:c>
      <x:c r="K107" s="18" t="str">
        <x:f>A107&amp;"|"&amp;B107&amp;"|"&amp;C107&amp;"|"&amp;D107&amp;"|"&amp;E107</x:f>
        <x:v>KG01|24|45953|ORD-2025-00125|15</x:v>
      </x:c>
      <x:c r="L107" s="18" t="str">
        <x:f>IF(AND(G107&gt;=0,I107&gt;=0,I107&lt;=G107),"OK","CHECK")</x:f>
        <x:v>OK</x:v>
      </x:c>
      <x:c r="M107" s="18" t="str">
        <x:f>IF(COUNTIF(ProductionReference!$A$5:$A$74,J107)=1,"OK","LINK ERROR")</x:f>
        <x:v>OK</x:v>
      </x:c>
      <x:c r="N107" s="18" t="str">
        <x:f>IF(F107=INDEX(ProductionReference!$D$5:$D$74,MATCH(J107,ProductionReference!$A$5:$A$74,0)),"OK","SHIFT MISMATCH")</x:f>
        <x:v>OK</x:v>
      </x:c>
      <x:c r="O107" s="18" t="str">
        <x:f>IF(COUNTIFS($A$5:$A$149,A107,$B$5:$B$149,B107,$C$5:$C$149,C107,$D$5:$D$149,D107,$E$5:$E$149,E107,$H$5:$H$149,H107)=1,"OK","DUPLICATE")</x:f>
        <x:v>OK</x:v>
      </x:c>
      <x:c r="P107" s="18" t="n">
        <x:f>COUNTIF($K$5:$K$149,K107)</x:f>
        <x:v>1</x:v>
      </x:c>
    </x:row>
    <x:row r="108">
      <x:c r="A108" s="13" t="str">
        <x:v>KG01</x:v>
      </x:c>
      <x:c r="B108" s="13" t="n">
        <x:v>24</x:v>
      </x:c>
      <x:c r="C108" s="20" t="n">
        <x:v>45953</x:v>
      </x:c>
      <x:c r="D108" s="13" t="str">
        <x:v>ORD-2025-00125</x:v>
      </x:c>
      <x:c r="E108" s="13" t="n">
        <x:v>20</x:v>
      </x:c>
      <x:c r="F108" s="13" t="str">
        <x:v>PM</x:v>
      </x:c>
      <x:c r="G108" s="16" t="n">
        <x:v>200</x:v>
      </x:c>
      <x:c r="H108" s="16" t="str">
        <x:v>Stone</x:v>
      </x:c>
      <x:c r="I108" s="16" t="n">
        <x:v>3</x:v>
      </x:c>
      <x:c r="J108" s="18" t="str">
        <x:v>PE000050</x:v>
      </x:c>
      <x:c r="K108" s="18" t="str">
        <x:f>A108&amp;"|"&amp;B108&amp;"|"&amp;C108&amp;"|"&amp;D108&amp;"|"&amp;E108</x:f>
        <x:v>KG01|24|45953|ORD-2025-00125|20</x:v>
      </x:c>
      <x:c r="L108" s="18" t="str">
        <x:f>IF(AND(G108&gt;=0,I108&gt;=0,I108&lt;=G108),"OK","CHECK")</x:f>
        <x:v>OK</x:v>
      </x:c>
      <x:c r="M108" s="18" t="str">
        <x:f>IF(COUNTIF(ProductionReference!$A$5:$A$74,J108)=1,"OK","LINK ERROR")</x:f>
        <x:v>OK</x:v>
      </x:c>
      <x:c r="N108" s="18" t="str">
        <x:f>IF(F108=INDEX(ProductionReference!$D$5:$D$74,MATCH(J108,ProductionReference!$A$5:$A$74,0)),"OK","SHIFT MISMATCH")</x:f>
        <x:v>OK</x:v>
      </x:c>
      <x:c r="O108" s="18" t="str">
        <x:f>IF(COUNTIFS($A$5:$A$149,A108,$B$5:$B$149,B108,$C$5:$C$149,C108,$D$5:$D$149,D108,$E$5:$E$149,E108,$H$5:$H$149,H108)=1,"OK","DUPLICATE")</x:f>
        <x:v>OK</x:v>
      </x:c>
      <x:c r="P108" s="18" t="n">
        <x:f>COUNTIF($K$5:$K$149,K108)</x:f>
        <x:v>1</x:v>
      </x:c>
    </x:row>
    <x:row r="109">
      <x:c r="A109" s="13" t="str">
        <x:v>KG01</x:v>
      </x:c>
      <x:c r="B109" s="13" t="n">
        <x:v>24</x:v>
      </x:c>
      <x:c r="C109" s="20" t="n">
        <x:v>45953</x:v>
      </x:c>
      <x:c r="D109" s="13" t="str">
        <x:v>ORD-2025-00125</x:v>
      </x:c>
      <x:c r="E109" s="13" t="n">
        <x:v>23</x:v>
      </x:c>
      <x:c r="F109" s="13" t="str">
        <x:v>PM</x:v>
      </x:c>
      <x:c r="G109" s="16" t="n">
        <x:v>150</x:v>
      </x:c>
      <x:c r="H109" s="16" t="str">
        <x:v>Stone</x:v>
      </x:c>
      <x:c r="I109" s="16" t="n">
        <x:v>5</x:v>
      </x:c>
      <x:c r="J109" s="18" t="str">
        <x:v>PE000050</x:v>
      </x:c>
      <x:c r="K109" s="18" t="str">
        <x:f>A109&amp;"|"&amp;B109&amp;"|"&amp;C109&amp;"|"&amp;D109&amp;"|"&amp;E109</x:f>
        <x:v>KG01|24|45953|ORD-2025-00125|23</x:v>
      </x:c>
      <x:c r="L109" s="18" t="str">
        <x:f>IF(AND(G109&gt;=0,I109&gt;=0,I109&lt;=G109),"OK","CHECK")</x:f>
        <x:v>OK</x:v>
      </x:c>
      <x:c r="M109" s="18" t="str">
        <x:f>IF(COUNTIF(ProductionReference!$A$5:$A$74,J109)=1,"OK","LINK ERROR")</x:f>
        <x:v>OK</x:v>
      </x:c>
      <x:c r="N109" s="18" t="str">
        <x:f>IF(F109=INDEX(ProductionReference!$D$5:$D$74,MATCH(J109,ProductionReference!$A$5:$A$74,0)),"OK","SHIFT MISMATCH")</x:f>
        <x:v>OK</x:v>
      </x:c>
      <x:c r="O109" s="18" t="str">
        <x:f>IF(COUNTIFS($A$5:$A$149,A109,$B$5:$B$149,B109,$C$5:$C$149,C109,$D$5:$D$149,D109,$E$5:$E$149,E109,$H$5:$H$149,H109)=1,"OK","DUPLICATE")</x:f>
        <x:v>OK</x:v>
      </x:c>
      <x:c r="P109" s="18" t="n">
        <x:f>COUNTIF($K$5:$K$149,K109)</x:f>
        <x:v>1</x:v>
      </x:c>
    </x:row>
    <x:row r="110">
      <x:c r="A110" s="13" t="str">
        <x:v>KG01</x:v>
      </x:c>
      <x:c r="B110" s="13" t="n">
        <x:v>24</x:v>
      </x:c>
      <x:c r="C110" s="20" t="n">
        <x:v>45954</x:v>
      </x:c>
      <x:c r="D110" s="13" t="str">
        <x:v>ORD-2025-00125</x:v>
      </x:c>
      <x:c r="E110" s="13" t="n">
        <x:v>9</x:v>
      </x:c>
      <x:c r="F110" s="13" t="str">
        <x:v>AM</x:v>
      </x:c>
      <x:c r="G110" s="16" t="n">
        <x:v>150</x:v>
      </x:c>
      <x:c r="H110" s="16" t="str">
        <x:v>Crack</x:v>
      </x:c>
      <x:c r="I110" s="16" t="n">
        <x:v>1</x:v>
      </x:c>
      <x:c r="J110" s="18" t="str">
        <x:v>PE000051</x:v>
      </x:c>
      <x:c r="K110" s="18" t="str">
        <x:f>A110&amp;"|"&amp;B110&amp;"|"&amp;C110&amp;"|"&amp;D110&amp;"|"&amp;E110</x:f>
        <x:v>KG01|24|45954|ORD-2025-00125|9</x:v>
      </x:c>
      <x:c r="L110" s="18" t="str">
        <x:f>IF(AND(G110&gt;=0,I110&gt;=0,I110&lt;=G110),"OK","CHECK")</x:f>
        <x:v>OK</x:v>
      </x:c>
      <x:c r="M110" s="18" t="str">
        <x:f>IF(COUNTIF(ProductionReference!$A$5:$A$74,J110)=1,"OK","LINK ERROR")</x:f>
        <x:v>OK</x:v>
      </x:c>
      <x:c r="N110" s="18" t="str">
        <x:f>IF(F110=INDEX(ProductionReference!$D$5:$D$74,MATCH(J110,ProductionReference!$A$5:$A$74,0)),"OK","SHIFT MISMATCH")</x:f>
        <x:v>OK</x:v>
      </x:c>
      <x:c r="O110" s="18" t="str">
        <x:f>IF(COUNTIFS($A$5:$A$149,A110,$B$5:$B$149,B110,$C$5:$C$149,C110,$D$5:$D$149,D110,$E$5:$E$149,E110,$H$5:$H$149,H110)=1,"OK","DUPLICATE")</x:f>
        <x:v>OK</x:v>
      </x:c>
      <x:c r="P110" s="18" t="n">
        <x:f>COUNTIF($K$5:$K$149,K110)</x:f>
        <x:v>1</x:v>
      </x:c>
    </x:row>
    <x:row r="111">
      <x:c r="A111" s="13" t="str">
        <x:v>KG01</x:v>
      </x:c>
      <x:c r="B111" s="13" t="n">
        <x:v>24</x:v>
      </x:c>
      <x:c r="C111" s="20" t="n">
        <x:v>45954</x:v>
      </x:c>
      <x:c r="D111" s="13" t="str">
        <x:v>ORD-2025-00125</x:v>
      </x:c>
      <x:c r="E111" s="13" t="n">
        <x:v>15</x:v>
      </x:c>
      <x:c r="F111" s="13" t="str">
        <x:v>AM</x:v>
      </x:c>
      <x:c r="G111" s="16" t="n">
        <x:v>50</x:v>
      </x:c>
      <x:c r="H111" s="16" t="str">
        <x:v>Distortion</x:v>
      </x:c>
      <x:c r="I111" s="16" t="n">
        <x:v>1</x:v>
      </x:c>
      <x:c r="J111" s="18" t="str">
        <x:v>PE000051</x:v>
      </x:c>
      <x:c r="K111" s="18" t="str">
        <x:f>A111&amp;"|"&amp;B111&amp;"|"&amp;C111&amp;"|"&amp;D111&amp;"|"&amp;E111</x:f>
        <x:v>KG01|24|45954|ORD-2025-00125|15</x:v>
      </x:c>
      <x:c r="L111" s="18" t="str">
        <x:f>IF(AND(G111&gt;=0,I111&gt;=0,I111&lt;=G111),"OK","CHECK")</x:f>
        <x:v>OK</x:v>
      </x:c>
      <x:c r="M111" s="18" t="str">
        <x:f>IF(COUNTIF(ProductionReference!$A$5:$A$74,J111)=1,"OK","LINK ERROR")</x:f>
        <x:v>OK</x:v>
      </x:c>
      <x:c r="N111" s="18" t="str">
        <x:f>IF(F111=INDEX(ProductionReference!$D$5:$D$74,MATCH(J111,ProductionReference!$A$5:$A$74,0)),"OK","SHIFT MISMATCH")</x:f>
        <x:v>OK</x:v>
      </x:c>
      <x:c r="O111" s="18" t="str">
        <x:f>IF(COUNTIFS($A$5:$A$149,A111,$B$5:$B$149,B111,$C$5:$C$149,C111,$D$5:$D$149,D111,$E$5:$E$149,E111,$H$5:$H$149,H111)=1,"OK","DUPLICATE")</x:f>
        <x:v>OK</x:v>
      </x:c>
      <x:c r="P111" s="18" t="n">
        <x:f>COUNTIF($K$5:$K$149,K111)</x:f>
        <x:v>1</x:v>
      </x:c>
    </x:row>
    <x:row r="112">
      <x:c r="A112" s="13" t="str">
        <x:v>KG01</x:v>
      </x:c>
      <x:c r="B112" s="13" t="n">
        <x:v>24</x:v>
      </x:c>
      <x:c r="C112" s="20" t="n">
        <x:v>45954</x:v>
      </x:c>
      <x:c r="D112" s="13" t="str">
        <x:v>ORD-2025-00125</x:v>
      </x:c>
      <x:c r="E112" s="13" t="n">
        <x:v>20</x:v>
      </x:c>
      <x:c r="F112" s="13" t="str">
        <x:v>PM</x:v>
      </x:c>
      <x:c r="G112" s="16" t="n">
        <x:v>50</x:v>
      </x:c>
      <x:c r="H112" s="16" t="str">
        <x:v>Blister</x:v>
      </x:c>
      <x:c r="I112" s="16" t="n">
        <x:v>0</x:v>
      </x:c>
      <x:c r="J112" s="18" t="str">
        <x:v>PE000052</x:v>
      </x:c>
      <x:c r="K112" s="18" t="str">
        <x:f>A112&amp;"|"&amp;B112&amp;"|"&amp;C112&amp;"|"&amp;D112&amp;"|"&amp;E112</x:f>
        <x:v>KG01|24|45954|ORD-2025-00125|20</x:v>
      </x:c>
      <x:c r="L112" s="18" t="str">
        <x:f>IF(AND(G112&gt;=0,I112&gt;=0,I112&lt;=G112),"OK","CHECK")</x:f>
        <x:v>OK</x:v>
      </x:c>
      <x:c r="M112" s="18" t="str">
        <x:f>IF(COUNTIF(ProductionReference!$A$5:$A$74,J112)=1,"OK","LINK ERROR")</x:f>
        <x:v>OK</x:v>
      </x:c>
      <x:c r="N112" s="18" t="str">
        <x:f>IF(F112=INDEX(ProductionReference!$D$5:$D$74,MATCH(J112,ProductionReference!$A$5:$A$74,0)),"OK","SHIFT MISMATCH")</x:f>
        <x:v>OK</x:v>
      </x:c>
      <x:c r="O112" s="18" t="str">
        <x:f>IF(COUNTIFS($A$5:$A$149,A112,$B$5:$B$149,B112,$C$5:$C$149,C112,$D$5:$D$149,D112,$E$5:$E$149,E112,$H$5:$H$149,H112)=1,"OK","DUPLICATE")</x:f>
        <x:v>OK</x:v>
      </x:c>
      <x:c r="P112" s="18" t="n">
        <x:f>COUNTIF($K$5:$K$149,K112)</x:f>
        <x:v>1</x:v>
      </x:c>
    </x:row>
    <x:row r="113">
      <x:c r="A113" s="13" t="str">
        <x:v>KG01</x:v>
      </x:c>
      <x:c r="B113" s="13" t="n">
        <x:v>24</x:v>
      </x:c>
      <x:c r="C113" s="20" t="n">
        <x:v>45954</x:v>
      </x:c>
      <x:c r="D113" s="13" t="str">
        <x:v>ORD-2025-00125</x:v>
      </x:c>
      <x:c r="E113" s="13" t="n">
        <x:v>23</x:v>
      </x:c>
      <x:c r="F113" s="13" t="str">
        <x:v>PM</x:v>
      </x:c>
      <x:c r="G113" s="16" t="n">
        <x:v>150</x:v>
      </x:c>
      <x:c r="H113" s="16" t="str">
        <x:v>Bird Swing</x:v>
      </x:c>
      <x:c r="I113" s="16" t="n">
        <x:v>1</x:v>
      </x:c>
      <x:c r="J113" s="18" t="str">
        <x:v>PE000052</x:v>
      </x:c>
      <x:c r="K113" s="18" t="str">
        <x:f>A113&amp;"|"&amp;B113&amp;"|"&amp;C113&amp;"|"&amp;D113&amp;"|"&amp;E113</x:f>
        <x:v>KG01|24|45954|ORD-2025-00125|23</x:v>
      </x:c>
      <x:c r="L113" s="18" t="str">
        <x:f>IF(AND(G113&gt;=0,I113&gt;=0,I113&lt;=G113),"OK","CHECK")</x:f>
        <x:v>OK</x:v>
      </x:c>
      <x:c r="M113" s="18" t="str">
        <x:f>IF(COUNTIF(ProductionReference!$A$5:$A$74,J113)=1,"OK","LINK ERROR")</x:f>
        <x:v>OK</x:v>
      </x:c>
      <x:c r="N113" s="18" t="str">
        <x:f>IF(F113=INDEX(ProductionReference!$D$5:$D$74,MATCH(J113,ProductionReference!$A$5:$A$74,0)),"OK","SHIFT MISMATCH")</x:f>
        <x:v>OK</x:v>
      </x:c>
      <x:c r="O113" s="18" t="str">
        <x:f>IF(COUNTIFS($A$5:$A$149,A113,$B$5:$B$149,B113,$C$5:$C$149,C113,$D$5:$D$149,D113,$E$5:$E$149,E113,$H$5:$H$149,H113)=1,"OK","DUPLICATE")</x:f>
        <x:v>OK</x:v>
      </x:c>
      <x:c r="P113" s="18" t="n">
        <x:f>COUNTIF($K$5:$K$149,K113)</x:f>
        <x:v>1</x:v>
      </x:c>
    </x:row>
    <x:row r="114">
      <x:c r="A114" s="13" t="str">
        <x:v>KG01</x:v>
      </x:c>
      <x:c r="B114" s="13" t="n">
        <x:v>24</x:v>
      </x:c>
      <x:c r="C114" s="20" t="n">
        <x:v>45955</x:v>
      </x:c>
      <x:c r="D114" s="13" t="str">
        <x:v>ORD-2025-00126</x:v>
      </x:c>
      <x:c r="E114" s="13" t="n">
        <x:v>9</x:v>
      </x:c>
      <x:c r="F114" s="13" t="str">
        <x:v>AM</x:v>
      </x:c>
      <x:c r="G114" s="16" t="n">
        <x:v>200</x:v>
      </x:c>
      <x:c r="H114" s="16" t="str">
        <x:v>Thin Wall</x:v>
      </x:c>
      <x:c r="I114" s="16" t="n">
        <x:v>0</x:v>
      </x:c>
      <x:c r="J114" s="18" t="str">
        <x:v>PE000053</x:v>
      </x:c>
      <x:c r="K114" s="18" t="str">
        <x:f>A114&amp;"|"&amp;B114&amp;"|"&amp;C114&amp;"|"&amp;D114&amp;"|"&amp;E114</x:f>
        <x:v>KG01|24|45955|ORD-2025-00126|9</x:v>
      </x:c>
      <x:c r="L114" s="18" t="str">
        <x:f>IF(AND(G114&gt;=0,I114&gt;=0,I114&lt;=G114),"OK","CHECK")</x:f>
        <x:v>OK</x:v>
      </x:c>
      <x:c r="M114" s="18" t="str">
        <x:f>IF(COUNTIF(ProductionReference!$A$5:$A$74,J114)=1,"OK","LINK ERROR")</x:f>
        <x:v>OK</x:v>
      </x:c>
      <x:c r="N114" s="18" t="str">
        <x:f>IF(F114=INDEX(ProductionReference!$D$5:$D$74,MATCH(J114,ProductionReference!$A$5:$A$74,0)),"OK","SHIFT MISMATCH")</x:f>
        <x:v>OK</x:v>
      </x:c>
      <x:c r="O114" s="18" t="str">
        <x:f>IF(COUNTIFS($A$5:$A$149,A114,$B$5:$B$149,B114,$C$5:$C$149,C114,$D$5:$D$149,D114,$E$5:$E$149,E114,$H$5:$H$149,H114)=1,"OK","DUPLICATE")</x:f>
        <x:v>OK</x:v>
      </x:c>
      <x:c r="P114" s="18" t="n">
        <x:f>COUNTIF($K$5:$K$149,K114)</x:f>
        <x:v>1</x:v>
      </x:c>
    </x:row>
    <x:row r="115">
      <x:c r="A115" s="13" t="str">
        <x:v>KG01</x:v>
      </x:c>
      <x:c r="B115" s="13" t="n">
        <x:v>24</x:v>
      </x:c>
      <x:c r="C115" s="20" t="n">
        <x:v>45955</x:v>
      </x:c>
      <x:c r="D115" s="13" t="str">
        <x:v>ORD-2025-00126</x:v>
      </x:c>
      <x:c r="E115" s="13" t="n">
        <x:v>15</x:v>
      </x:c>
      <x:c r="F115" s="13" t="str">
        <x:v>AM</x:v>
      </x:c>
      <x:c r="G115" s="16" t="n">
        <x:v>50</x:v>
      </x:c>
      <x:c r="H115" s="16" t="str">
        <x:v>Choke Neck</x:v>
      </x:c>
      <x:c r="I115" s="16" t="n">
        <x:v>1</x:v>
      </x:c>
      <x:c r="J115" s="18" t="str">
        <x:v>PE000053</x:v>
      </x:c>
      <x:c r="K115" s="18" t="str">
        <x:f>A115&amp;"|"&amp;B115&amp;"|"&amp;C115&amp;"|"&amp;D115&amp;"|"&amp;E115</x:f>
        <x:v>KG01|24|45955|ORD-2025-00126|15</x:v>
      </x:c>
      <x:c r="L115" s="18" t="str">
        <x:f>IF(AND(G115&gt;=0,I115&gt;=0,I115&lt;=G115),"OK","CHECK")</x:f>
        <x:v>OK</x:v>
      </x:c>
      <x:c r="M115" s="18" t="str">
        <x:f>IF(COUNTIF(ProductionReference!$A$5:$A$74,J115)=1,"OK","LINK ERROR")</x:f>
        <x:v>OK</x:v>
      </x:c>
      <x:c r="N115" s="18" t="str">
        <x:f>IF(F115=INDEX(ProductionReference!$D$5:$D$74,MATCH(J115,ProductionReference!$A$5:$A$74,0)),"OK","SHIFT MISMATCH")</x:f>
        <x:v>OK</x:v>
      </x:c>
      <x:c r="O115" s="18" t="str">
        <x:f>IF(COUNTIFS($A$5:$A$149,A115,$B$5:$B$149,B115,$C$5:$C$149,C115,$D$5:$D$149,D115,$E$5:$E$149,E115,$H$5:$H$149,H115)=1,"OK","DUPLICATE")</x:f>
        <x:v>OK</x:v>
      </x:c>
      <x:c r="P115" s="18" t="n">
        <x:f>COUNTIF($K$5:$K$149,K115)</x:f>
        <x:v>1</x:v>
      </x:c>
    </x:row>
    <x:row r="116">
      <x:c r="A116" s="13" t="str">
        <x:v>KG01</x:v>
      </x:c>
      <x:c r="B116" s="13" t="n">
        <x:v>24</x:v>
      </x:c>
      <x:c r="C116" s="20" t="n">
        <x:v>45955</x:v>
      </x:c>
      <x:c r="D116" s="13" t="str">
        <x:v>ORD-2025-00126</x:v>
      </x:c>
      <x:c r="E116" s="13" t="n">
        <x:v>20</x:v>
      </x:c>
      <x:c r="F116" s="13" t="str">
        <x:v>PM</x:v>
      </x:c>
      <x:c r="G116" s="16" t="n">
        <x:v>150</x:v>
      </x:c>
      <x:c r="H116" s="16" t="str">
        <x:v>Crack</x:v>
      </x:c>
      <x:c r="I116" s="16" t="n">
        <x:v>2</x:v>
      </x:c>
      <x:c r="J116" s="18" t="str">
        <x:v>PE000054</x:v>
      </x:c>
      <x:c r="K116" s="18" t="str">
        <x:f>A116&amp;"|"&amp;B116&amp;"|"&amp;C116&amp;"|"&amp;D116&amp;"|"&amp;E116</x:f>
        <x:v>KG01|24|45955|ORD-2025-00126|20</x:v>
      </x:c>
      <x:c r="L116" s="18" t="str">
        <x:f>IF(AND(G116&gt;=0,I116&gt;=0,I116&lt;=G116),"OK","CHECK")</x:f>
        <x:v>OK</x:v>
      </x:c>
      <x:c r="M116" s="18" t="str">
        <x:f>IF(COUNTIF(ProductionReference!$A$5:$A$74,J116)=1,"OK","LINK ERROR")</x:f>
        <x:v>OK</x:v>
      </x:c>
      <x:c r="N116" s="18" t="str">
        <x:f>IF(F116=INDEX(ProductionReference!$D$5:$D$74,MATCH(J116,ProductionReference!$A$5:$A$74,0)),"OK","SHIFT MISMATCH")</x:f>
        <x:v>OK</x:v>
      </x:c>
      <x:c r="O116" s="18" t="str">
        <x:f>IF(COUNTIFS($A$5:$A$149,A116,$B$5:$B$149,B116,$C$5:$C$149,C116,$D$5:$D$149,D116,$E$5:$E$149,E116,$H$5:$H$149,H116)=1,"OK","DUPLICATE")</x:f>
        <x:v>OK</x:v>
      </x:c>
      <x:c r="P116" s="18" t="n">
        <x:f>COUNTIF($K$5:$K$149,K116)</x:f>
        <x:v>1</x:v>
      </x:c>
    </x:row>
    <x:row r="117">
      <x:c r="A117" s="13" t="str">
        <x:v>KG01</x:v>
      </x:c>
      <x:c r="B117" s="13" t="n">
        <x:v>24</x:v>
      </x:c>
      <x:c r="C117" s="20" t="n">
        <x:v>45955</x:v>
      </x:c>
      <x:c r="D117" s="13" t="str">
        <x:v>ORD-2025-00126</x:v>
      </x:c>
      <x:c r="E117" s="13" t="n">
        <x:v>23</x:v>
      </x:c>
      <x:c r="F117" s="13" t="str">
        <x:v>PM</x:v>
      </x:c>
      <x:c r="G117" s="16" t="n">
        <x:v>50</x:v>
      </x:c>
      <x:c r="H117" s="16" t="str">
        <x:v>Crack</x:v>
      </x:c>
      <x:c r="I117" s="16" t="n">
        <x:v>1</x:v>
      </x:c>
      <x:c r="J117" s="18" t="str">
        <x:v>PE000054</x:v>
      </x:c>
      <x:c r="K117" s="18" t="str">
        <x:f>A117&amp;"|"&amp;B117&amp;"|"&amp;C117&amp;"|"&amp;D117&amp;"|"&amp;E117</x:f>
        <x:v>KG01|24|45955|ORD-2025-00126|23</x:v>
      </x:c>
      <x:c r="L117" s="18" t="str">
        <x:f>IF(AND(G117&gt;=0,I117&gt;=0,I117&lt;=G117),"OK","CHECK")</x:f>
        <x:v>OK</x:v>
      </x:c>
      <x:c r="M117" s="18" t="str">
        <x:f>IF(COUNTIF(ProductionReference!$A$5:$A$74,J117)=1,"OK","LINK ERROR")</x:f>
        <x:v>OK</x:v>
      </x:c>
      <x:c r="N117" s="18" t="str">
        <x:f>IF(F117=INDEX(ProductionReference!$D$5:$D$74,MATCH(J117,ProductionReference!$A$5:$A$74,0)),"OK","SHIFT MISMATCH")</x:f>
        <x:v>OK</x:v>
      </x:c>
      <x:c r="O117" s="18" t="str">
        <x:f>IF(COUNTIFS($A$5:$A$149,A117,$B$5:$B$149,B117,$C$5:$C$149,C117,$D$5:$D$149,D117,$E$5:$E$149,E117,$H$5:$H$149,H117)=1,"OK","DUPLICATE")</x:f>
        <x:v>OK</x:v>
      </x:c>
      <x:c r="P117" s="18" t="n">
        <x:f>COUNTIF($K$5:$K$149,K117)</x:f>
        <x:v>1</x:v>
      </x:c>
    </x:row>
    <x:row r="118">
      <x:c r="A118" s="13" t="str">
        <x:v>KG01</x:v>
      </x:c>
      <x:c r="B118" s="13" t="n">
        <x:v>24</x:v>
      </x:c>
      <x:c r="C118" s="20" t="n">
        <x:v>45956</x:v>
      </x:c>
      <x:c r="D118" s="13" t="str">
        <x:v>ORD-2025-00126</x:v>
      </x:c>
      <x:c r="E118" s="13" t="n">
        <x:v>9</x:v>
      </x:c>
      <x:c r="F118" s="13" t="str">
        <x:v>AM</x:v>
      </x:c>
      <x:c r="G118" s="16" t="n">
        <x:v>100</x:v>
      </x:c>
      <x:c r="H118" s="16" t="str">
        <x:v>Bird Swing</x:v>
      </x:c>
      <x:c r="I118" s="16" t="n">
        <x:v>2</x:v>
      </x:c>
      <x:c r="J118" s="18" t="str">
        <x:v>PE000055</x:v>
      </x:c>
      <x:c r="K118" s="18" t="str">
        <x:f>A118&amp;"|"&amp;B118&amp;"|"&amp;C118&amp;"|"&amp;D118&amp;"|"&amp;E118</x:f>
        <x:v>KG01|24|45956|ORD-2025-00126|9</x:v>
      </x:c>
      <x:c r="L118" s="18" t="str">
        <x:f>IF(AND(G118&gt;=0,I118&gt;=0,I118&lt;=G118),"OK","CHECK")</x:f>
        <x:v>OK</x:v>
      </x:c>
      <x:c r="M118" s="18" t="str">
        <x:f>IF(COUNTIF(ProductionReference!$A$5:$A$74,J118)=1,"OK","LINK ERROR")</x:f>
        <x:v>OK</x:v>
      </x:c>
      <x:c r="N118" s="18" t="str">
        <x:f>IF(F118=INDEX(ProductionReference!$D$5:$D$74,MATCH(J118,ProductionReference!$A$5:$A$74,0)),"OK","SHIFT MISMATCH")</x:f>
        <x:v>OK</x:v>
      </x:c>
      <x:c r="O118" s="18" t="str">
        <x:f>IF(COUNTIFS($A$5:$A$149,A118,$B$5:$B$149,B118,$C$5:$C$149,C118,$D$5:$D$149,D118,$E$5:$E$149,E118,$H$5:$H$149,H118)=1,"OK","DUPLICATE")</x:f>
        <x:v>OK</x:v>
      </x:c>
      <x:c r="P118" s="18" t="n">
        <x:f>COUNTIF($K$5:$K$149,K118)</x:f>
        <x:v>1</x:v>
      </x:c>
    </x:row>
    <x:row r="119">
      <x:c r="A119" s="13" t="str">
        <x:v>KG01</x:v>
      </x:c>
      <x:c r="B119" s="13" t="n">
        <x:v>24</x:v>
      </x:c>
      <x:c r="C119" s="20" t="n">
        <x:v>45956</x:v>
      </x:c>
      <x:c r="D119" s="13" t="str">
        <x:v>ORD-2025-00126</x:v>
      </x:c>
      <x:c r="E119" s="13" t="n">
        <x:v>15</x:v>
      </x:c>
      <x:c r="F119" s="13" t="str">
        <x:v>AM</x:v>
      </x:c>
      <x:c r="G119" s="16" t="n">
        <x:v>150</x:v>
      </x:c>
      <x:c r="H119" s="16" t="str">
        <x:v>Chip</x:v>
      </x:c>
      <x:c r="I119" s="16" t="n">
        <x:v>0</x:v>
      </x:c>
      <x:c r="J119" s="18" t="str">
        <x:v>PE000055</x:v>
      </x:c>
      <x:c r="K119" s="18" t="str">
        <x:f>A119&amp;"|"&amp;B119&amp;"|"&amp;C119&amp;"|"&amp;D119&amp;"|"&amp;E119</x:f>
        <x:v>KG01|24|45956|ORD-2025-00126|15</x:v>
      </x:c>
      <x:c r="L119" s="18" t="str">
        <x:f>IF(AND(G119&gt;=0,I119&gt;=0,I119&lt;=G119),"OK","CHECK")</x:f>
        <x:v>OK</x:v>
      </x:c>
      <x:c r="M119" s="18" t="str">
        <x:f>IF(COUNTIF(ProductionReference!$A$5:$A$74,J119)=1,"OK","LINK ERROR")</x:f>
        <x:v>OK</x:v>
      </x:c>
      <x:c r="N119" s="18" t="str">
        <x:f>IF(F119=INDEX(ProductionReference!$D$5:$D$74,MATCH(J119,ProductionReference!$A$5:$A$74,0)),"OK","SHIFT MISMATCH")</x:f>
        <x:v>OK</x:v>
      </x:c>
      <x:c r="O119" s="18" t="str">
        <x:f>IF(COUNTIFS($A$5:$A$149,A119,$B$5:$B$149,B119,$C$5:$C$149,C119,$D$5:$D$149,D119,$E$5:$E$149,E119,$H$5:$H$149,H119)=1,"OK","DUPLICATE")</x:f>
        <x:v>OK</x:v>
      </x:c>
      <x:c r="P119" s="18" t="n">
        <x:f>COUNTIF($K$5:$K$149,K119)</x:f>
        <x:v>1</x:v>
      </x:c>
    </x:row>
    <x:row r="120">
      <x:c r="A120" s="13" t="str">
        <x:v>KG01</x:v>
      </x:c>
      <x:c r="B120" s="13" t="n">
        <x:v>24</x:v>
      </x:c>
      <x:c r="C120" s="20" t="n">
        <x:v>45956</x:v>
      </x:c>
      <x:c r="D120" s="13" t="str">
        <x:v>ORD-2025-00126</x:v>
      </x:c>
      <x:c r="E120" s="13" t="n">
        <x:v>20</x:v>
      </x:c>
      <x:c r="F120" s="13" t="str">
        <x:v>PM</x:v>
      </x:c>
      <x:c r="G120" s="16" t="n">
        <x:v>100</x:v>
      </x:c>
      <x:c r="H120" s="16" t="str">
        <x:v>Thin Wall</x:v>
      </x:c>
      <x:c r="I120" s="16" t="n">
        <x:v>3</x:v>
      </x:c>
      <x:c r="J120" s="18" t="str">
        <x:v>PE000056</x:v>
      </x:c>
      <x:c r="K120" s="18" t="str">
        <x:f>A120&amp;"|"&amp;B120&amp;"|"&amp;C120&amp;"|"&amp;D120&amp;"|"&amp;E120</x:f>
        <x:v>KG01|24|45956|ORD-2025-00126|20</x:v>
      </x:c>
      <x:c r="L120" s="18" t="str">
        <x:f>IF(AND(G120&gt;=0,I120&gt;=0,I120&lt;=G120),"OK","CHECK")</x:f>
        <x:v>OK</x:v>
      </x:c>
      <x:c r="M120" s="18" t="str">
        <x:f>IF(COUNTIF(ProductionReference!$A$5:$A$74,J120)=1,"OK","LINK ERROR")</x:f>
        <x:v>OK</x:v>
      </x:c>
      <x:c r="N120" s="18" t="str">
        <x:f>IF(F120=INDEX(ProductionReference!$D$5:$D$74,MATCH(J120,ProductionReference!$A$5:$A$74,0)),"OK","SHIFT MISMATCH")</x:f>
        <x:v>OK</x:v>
      </x:c>
      <x:c r="O120" s="18" t="str">
        <x:f>IF(COUNTIFS($A$5:$A$149,A120,$B$5:$B$149,B120,$C$5:$C$149,C120,$D$5:$D$149,D120,$E$5:$E$149,E120,$H$5:$H$149,H120)=1,"OK","DUPLICATE")</x:f>
        <x:v>OK</x:v>
      </x:c>
      <x:c r="P120" s="18" t="n">
        <x:f>COUNTIF($K$5:$K$149,K120)</x:f>
        <x:v>1</x:v>
      </x:c>
    </x:row>
    <x:row r="121">
      <x:c r="A121" s="13" t="str">
        <x:v>KG01</x:v>
      </x:c>
      <x:c r="B121" s="13" t="n">
        <x:v>24</x:v>
      </x:c>
      <x:c r="C121" s="20" t="n">
        <x:v>45956</x:v>
      </x:c>
      <x:c r="D121" s="13" t="str">
        <x:v>ORD-2025-00126</x:v>
      </x:c>
      <x:c r="E121" s="13" t="n">
        <x:v>23</x:v>
      </x:c>
      <x:c r="F121" s="13" t="str">
        <x:v>PM</x:v>
      </x:c>
      <x:c r="G121" s="16" t="n">
        <x:v>50</x:v>
      </x:c>
      <x:c r="H121" s="16" t="str">
        <x:v>Choke Neck</x:v>
      </x:c>
      <x:c r="I121" s="16" t="n">
        <x:v>1</x:v>
      </x:c>
      <x:c r="J121" s="18" t="str">
        <x:v>PE000056</x:v>
      </x:c>
      <x:c r="K121" s="18" t="str">
        <x:f>A121&amp;"|"&amp;B121&amp;"|"&amp;C121&amp;"|"&amp;D121&amp;"|"&amp;E121</x:f>
        <x:v>KG01|24|45956|ORD-2025-00126|23</x:v>
      </x:c>
      <x:c r="L121" s="18" t="str">
        <x:f>IF(AND(G121&gt;=0,I121&gt;=0,I121&lt;=G121),"OK","CHECK")</x:f>
        <x:v>OK</x:v>
      </x:c>
      <x:c r="M121" s="18" t="str">
        <x:f>IF(COUNTIF(ProductionReference!$A$5:$A$74,J121)=1,"OK","LINK ERROR")</x:f>
        <x:v>OK</x:v>
      </x:c>
      <x:c r="N121" s="18" t="str">
        <x:f>IF(F121=INDEX(ProductionReference!$D$5:$D$74,MATCH(J121,ProductionReference!$A$5:$A$74,0)),"OK","SHIFT MISMATCH")</x:f>
        <x:v>OK</x:v>
      </x:c>
      <x:c r="O121" s="18" t="str">
        <x:f>IF(COUNTIFS($A$5:$A$149,A121,$B$5:$B$149,B121,$C$5:$C$149,C121,$D$5:$D$149,D121,$E$5:$E$149,E121,$H$5:$H$149,H121)=1,"OK","DUPLICATE")</x:f>
        <x:v>OK</x:v>
      </x:c>
      <x:c r="P121" s="18" t="n">
        <x:f>COUNTIF($K$5:$K$149,K121)</x:f>
        <x:v>1</x:v>
      </x:c>
    </x:row>
    <x:row r="122">
      <x:c r="A122" s="13" t="str">
        <x:v>KG01</x:v>
      </x:c>
      <x:c r="B122" s="13" t="n">
        <x:v>25</x:v>
      </x:c>
      <x:c r="C122" s="20" t="n">
        <x:v>45950</x:v>
      </x:c>
      <x:c r="D122" s="13" t="str">
        <x:v>ORD-2025-00161</x:v>
      </x:c>
      <x:c r="E122" s="13" t="n">
        <x:v>9</x:v>
      </x:c>
      <x:c r="F122" s="13" t="str">
        <x:v>AM</x:v>
      </x:c>
      <x:c r="G122" s="16" t="n">
        <x:v>200</x:v>
      </x:c>
      <x:c r="H122" s="16" t="str">
        <x:v>Overpress</x:v>
      </x:c>
      <x:c r="I122" s="16" t="n">
        <x:v>6</x:v>
      </x:c>
      <x:c r="J122" s="18" t="str">
        <x:v>PE000057</x:v>
      </x:c>
      <x:c r="K122" s="18" t="str">
        <x:f>A122&amp;"|"&amp;B122&amp;"|"&amp;C122&amp;"|"&amp;D122&amp;"|"&amp;E122</x:f>
        <x:v>KG01|25|45950|ORD-2025-00161|9</x:v>
      </x:c>
      <x:c r="L122" s="18" t="str">
        <x:f>IF(AND(G122&gt;=0,I122&gt;=0,I122&lt;=G122),"OK","CHECK")</x:f>
        <x:v>OK</x:v>
      </x:c>
      <x:c r="M122" s="18" t="str">
        <x:f>IF(COUNTIF(ProductionReference!$A$5:$A$74,J122)=1,"OK","LINK ERROR")</x:f>
        <x:v>OK</x:v>
      </x:c>
      <x:c r="N122" s="18" t="str">
        <x:f>IF(F122=INDEX(ProductionReference!$D$5:$D$74,MATCH(J122,ProductionReference!$A$5:$A$74,0)),"OK","SHIFT MISMATCH")</x:f>
        <x:v>OK</x:v>
      </x:c>
      <x:c r="O122" s="18" t="str">
        <x:f>IF(COUNTIFS($A$5:$A$149,A122,$B$5:$B$149,B122,$C$5:$C$149,C122,$D$5:$D$149,D122,$E$5:$E$149,E122,$H$5:$H$149,H122)=1,"OK","DUPLICATE")</x:f>
        <x:v>OK</x:v>
      </x:c>
      <x:c r="P122" s="18" t="n">
        <x:f>COUNTIF($K$5:$K$149,K122)</x:f>
        <x:v>1</x:v>
      </x:c>
    </x:row>
    <x:row r="123">
      <x:c r="A123" s="13" t="str">
        <x:v>KG01</x:v>
      </x:c>
      <x:c r="B123" s="13" t="n">
        <x:v>25</x:v>
      </x:c>
      <x:c r="C123" s="20" t="n">
        <x:v>45950</x:v>
      </x:c>
      <x:c r="D123" s="13" t="str">
        <x:v>ORD-2025-00161</x:v>
      </x:c>
      <x:c r="E123" s="13" t="n">
        <x:v>15</x:v>
      </x:c>
      <x:c r="F123" s="13" t="str">
        <x:v>AM</x:v>
      </x:c>
      <x:c r="G123" s="16" t="n">
        <x:v>100</x:v>
      </x:c>
      <x:c r="H123" s="16" t="str">
        <x:v>Overpress</x:v>
      </x:c>
      <x:c r="I123" s="16" t="n">
        <x:v>1</x:v>
      </x:c>
      <x:c r="J123" s="18" t="str">
        <x:v>PE000057</x:v>
      </x:c>
      <x:c r="K123" s="18" t="str">
        <x:f>A123&amp;"|"&amp;B123&amp;"|"&amp;C123&amp;"|"&amp;D123&amp;"|"&amp;E123</x:f>
        <x:v>KG01|25|45950|ORD-2025-00161|15</x:v>
      </x:c>
      <x:c r="L123" s="18" t="str">
        <x:f>IF(AND(G123&gt;=0,I123&gt;=0,I123&lt;=G123),"OK","CHECK")</x:f>
        <x:v>OK</x:v>
      </x:c>
      <x:c r="M123" s="18" t="str">
        <x:f>IF(COUNTIF(ProductionReference!$A$5:$A$74,J123)=1,"OK","LINK ERROR")</x:f>
        <x:v>OK</x:v>
      </x:c>
      <x:c r="N123" s="18" t="str">
        <x:f>IF(F123=INDEX(ProductionReference!$D$5:$D$74,MATCH(J123,ProductionReference!$A$5:$A$74,0)),"OK","SHIFT MISMATCH")</x:f>
        <x:v>OK</x:v>
      </x:c>
      <x:c r="O123" s="18" t="str">
        <x:f>IF(COUNTIFS($A$5:$A$149,A123,$B$5:$B$149,B123,$C$5:$C$149,C123,$D$5:$D$149,D123,$E$5:$E$149,E123,$H$5:$H$149,H123)=1,"OK","DUPLICATE")</x:f>
        <x:v>OK</x:v>
      </x:c>
      <x:c r="P123" s="18" t="n">
        <x:f>COUNTIF($K$5:$K$149,K123)</x:f>
        <x:v>1</x:v>
      </x:c>
    </x:row>
    <x:row r="124">
      <x:c r="A124" s="13" t="str">
        <x:v>KG01</x:v>
      </x:c>
      <x:c r="B124" s="13" t="n">
        <x:v>25</x:v>
      </x:c>
      <x:c r="C124" s="20" t="n">
        <x:v>45950</x:v>
      </x:c>
      <x:c r="D124" s="13" t="str">
        <x:v>ORD-2025-00161</x:v>
      </x:c>
      <x:c r="E124" s="13" t="n">
        <x:v>20</x:v>
      </x:c>
      <x:c r="F124" s="13" t="str">
        <x:v>PM</x:v>
      </x:c>
      <x:c r="G124" s="16" t="n">
        <x:v>150</x:v>
      </x:c>
      <x:c r="H124" s="16" t="str">
        <x:v>Thin Wall</x:v>
      </x:c>
      <x:c r="I124" s="16" t="n">
        <x:v>5</x:v>
      </x:c>
      <x:c r="J124" s="18" t="str">
        <x:v>PE000058</x:v>
      </x:c>
      <x:c r="K124" s="18" t="str">
        <x:f>A124&amp;"|"&amp;B124&amp;"|"&amp;C124&amp;"|"&amp;D124&amp;"|"&amp;E124</x:f>
        <x:v>KG01|25|45950|ORD-2025-00161|20</x:v>
      </x:c>
      <x:c r="L124" s="18" t="str">
        <x:f>IF(AND(G124&gt;=0,I124&gt;=0,I124&lt;=G124),"OK","CHECK")</x:f>
        <x:v>OK</x:v>
      </x:c>
      <x:c r="M124" s="18" t="str">
        <x:f>IF(COUNTIF(ProductionReference!$A$5:$A$74,J124)=1,"OK","LINK ERROR")</x:f>
        <x:v>OK</x:v>
      </x:c>
      <x:c r="N124" s="18" t="str">
        <x:f>IF(F124=INDEX(ProductionReference!$D$5:$D$74,MATCH(J124,ProductionReference!$A$5:$A$74,0)),"OK","SHIFT MISMATCH")</x:f>
        <x:v>OK</x:v>
      </x:c>
      <x:c r="O124" s="18" t="str">
        <x:f>IF(COUNTIFS($A$5:$A$149,A124,$B$5:$B$149,B124,$C$5:$C$149,C124,$D$5:$D$149,D124,$E$5:$E$149,E124,$H$5:$H$149,H124)=1,"OK","DUPLICATE")</x:f>
        <x:v>OK</x:v>
      </x:c>
      <x:c r="P124" s="18" t="n">
        <x:f>COUNTIF($K$5:$K$149,K124)</x:f>
        <x:v>1</x:v>
      </x:c>
    </x:row>
    <x:row r="125">
      <x:c r="A125" s="13" t="str">
        <x:v>KG01</x:v>
      </x:c>
      <x:c r="B125" s="13" t="n">
        <x:v>25</x:v>
      </x:c>
      <x:c r="C125" s="20" t="n">
        <x:v>45950</x:v>
      </x:c>
      <x:c r="D125" s="13" t="str">
        <x:v>ORD-2025-00161</x:v>
      </x:c>
      <x:c r="E125" s="13" t="n">
        <x:v>23</x:v>
      </x:c>
      <x:c r="F125" s="13" t="str">
        <x:v>PM</x:v>
      </x:c>
      <x:c r="G125" s="16" t="n">
        <x:v>50</x:v>
      </x:c>
      <x:c r="H125" s="16" t="str">
        <x:v>Chip</x:v>
      </x:c>
      <x:c r="I125" s="16" t="n">
        <x:v>0</x:v>
      </x:c>
      <x:c r="J125" s="18" t="str">
        <x:v>PE000058</x:v>
      </x:c>
      <x:c r="K125" s="18" t="str">
        <x:f>A125&amp;"|"&amp;B125&amp;"|"&amp;C125&amp;"|"&amp;D125&amp;"|"&amp;E125</x:f>
        <x:v>KG01|25|45950|ORD-2025-00161|23</x:v>
      </x:c>
      <x:c r="L125" s="18" t="str">
        <x:f>IF(AND(G125&gt;=0,I125&gt;=0,I125&lt;=G125),"OK","CHECK")</x:f>
        <x:v>OK</x:v>
      </x:c>
      <x:c r="M125" s="18" t="str">
        <x:f>IF(COUNTIF(ProductionReference!$A$5:$A$74,J125)=1,"OK","LINK ERROR")</x:f>
        <x:v>OK</x:v>
      </x:c>
      <x:c r="N125" s="18" t="str">
        <x:f>IF(F125=INDEX(ProductionReference!$D$5:$D$74,MATCH(J125,ProductionReference!$A$5:$A$74,0)),"OK","SHIFT MISMATCH")</x:f>
        <x:v>OK</x:v>
      </x:c>
      <x:c r="O125" s="18" t="str">
        <x:f>IF(COUNTIFS($A$5:$A$149,A125,$B$5:$B$149,B125,$C$5:$C$149,C125,$D$5:$D$149,D125,$E$5:$E$149,E125,$H$5:$H$149,H125)=1,"OK","DUPLICATE")</x:f>
        <x:v>OK</x:v>
      </x:c>
      <x:c r="P125" s="18" t="n">
        <x:f>COUNTIF($K$5:$K$149,K125)</x:f>
        <x:v>1</x:v>
      </x:c>
    </x:row>
    <x:row r="126">
      <x:c r="A126" s="13" t="str">
        <x:v>KG01</x:v>
      </x:c>
      <x:c r="B126" s="13" t="n">
        <x:v>25</x:v>
      </x:c>
      <x:c r="C126" s="20" t="n">
        <x:v>45951</x:v>
      </x:c>
      <x:c r="D126" s="13" t="str">
        <x:v>ORD-2025-00161</x:v>
      </x:c>
      <x:c r="E126" s="13" t="n">
        <x:v>9</x:v>
      </x:c>
      <x:c r="F126" s="13" t="str">
        <x:v>AM</x:v>
      </x:c>
      <x:c r="G126" s="16" t="n">
        <x:v>150</x:v>
      </x:c>
      <x:c r="H126" s="16" t="str">
        <x:v>Thin Wall</x:v>
      </x:c>
      <x:c r="I126" s="16" t="n">
        <x:v>3</x:v>
      </x:c>
      <x:c r="J126" s="18" t="str">
        <x:v>PE000059</x:v>
      </x:c>
      <x:c r="K126" s="18" t="str">
        <x:f>A126&amp;"|"&amp;B126&amp;"|"&amp;C126&amp;"|"&amp;D126&amp;"|"&amp;E126</x:f>
        <x:v>KG01|25|45951|ORD-2025-00161|9</x:v>
      </x:c>
      <x:c r="L126" s="18" t="str">
        <x:f>IF(AND(G126&gt;=0,I126&gt;=0,I126&lt;=G126),"OK","CHECK")</x:f>
        <x:v>OK</x:v>
      </x:c>
      <x:c r="M126" s="18" t="str">
        <x:f>IF(COUNTIF(ProductionReference!$A$5:$A$74,J126)=1,"OK","LINK ERROR")</x:f>
        <x:v>OK</x:v>
      </x:c>
      <x:c r="N126" s="18" t="str">
        <x:f>IF(F126=INDEX(ProductionReference!$D$5:$D$74,MATCH(J126,ProductionReference!$A$5:$A$74,0)),"OK","SHIFT MISMATCH")</x:f>
        <x:v>OK</x:v>
      </x:c>
      <x:c r="O126" s="18" t="str">
        <x:f>IF(COUNTIFS($A$5:$A$149,A126,$B$5:$B$149,B126,$C$5:$C$149,C126,$D$5:$D$149,D126,$E$5:$E$149,E126,$H$5:$H$149,H126)=1,"OK","DUPLICATE")</x:f>
        <x:v>OK</x:v>
      </x:c>
      <x:c r="P126" s="18" t="n">
        <x:f>COUNTIF($K$5:$K$149,K126)</x:f>
        <x:v>1</x:v>
      </x:c>
    </x:row>
    <x:row r="127">
      <x:c r="A127" s="13" t="str">
        <x:v>KG01</x:v>
      </x:c>
      <x:c r="B127" s="13" t="n">
        <x:v>25</x:v>
      </x:c>
      <x:c r="C127" s="20" t="n">
        <x:v>45951</x:v>
      </x:c>
      <x:c r="D127" s="13" t="str">
        <x:v>ORD-2025-00161</x:v>
      </x:c>
      <x:c r="E127" s="13" t="n">
        <x:v>15</x:v>
      </x:c>
      <x:c r="F127" s="13" t="str">
        <x:v>AM</x:v>
      </x:c>
      <x:c r="G127" s="16" t="n">
        <x:v>100</x:v>
      </x:c>
      <x:c r="H127" s="16" t="str">
        <x:v>Overpress</x:v>
      </x:c>
      <x:c r="I127" s="16" t="n">
        <x:v>1</x:v>
      </x:c>
      <x:c r="J127" s="18" t="str">
        <x:v>PE000059</x:v>
      </x:c>
      <x:c r="K127" s="18" t="str">
        <x:f>A127&amp;"|"&amp;B127&amp;"|"&amp;C127&amp;"|"&amp;D127&amp;"|"&amp;E127</x:f>
        <x:v>KG01|25|45951|ORD-2025-00161|15</x:v>
      </x:c>
      <x:c r="L127" s="18" t="str">
        <x:f>IF(AND(G127&gt;=0,I127&gt;=0,I127&lt;=G127),"OK","CHECK")</x:f>
        <x:v>OK</x:v>
      </x:c>
      <x:c r="M127" s="18" t="str">
        <x:f>IF(COUNTIF(ProductionReference!$A$5:$A$74,J127)=1,"OK","LINK ERROR")</x:f>
        <x:v>OK</x:v>
      </x:c>
      <x:c r="N127" s="18" t="str">
        <x:f>IF(F127=INDEX(ProductionReference!$D$5:$D$74,MATCH(J127,ProductionReference!$A$5:$A$74,0)),"OK","SHIFT MISMATCH")</x:f>
        <x:v>OK</x:v>
      </x:c>
      <x:c r="O127" s="18" t="str">
        <x:f>IF(COUNTIFS($A$5:$A$149,A127,$B$5:$B$149,B127,$C$5:$C$149,C127,$D$5:$D$149,D127,$E$5:$E$149,E127,$H$5:$H$149,H127)=1,"OK","DUPLICATE")</x:f>
        <x:v>OK</x:v>
      </x:c>
      <x:c r="P127" s="18" t="n">
        <x:f>COUNTIF($K$5:$K$149,K127)</x:f>
        <x:v>1</x:v>
      </x:c>
    </x:row>
    <x:row r="128">
      <x:c r="A128" s="13" t="str">
        <x:v>KG01</x:v>
      </x:c>
      <x:c r="B128" s="13" t="n">
        <x:v>25</x:v>
      </x:c>
      <x:c r="C128" s="20" t="n">
        <x:v>45951</x:v>
      </x:c>
      <x:c r="D128" s="13" t="str">
        <x:v>ORD-2025-00161</x:v>
      </x:c>
      <x:c r="E128" s="13" t="n">
        <x:v>20</x:v>
      </x:c>
      <x:c r="F128" s="13" t="str">
        <x:v>PM</x:v>
      </x:c>
      <x:c r="G128" s="16" t="n">
        <x:v>100</x:v>
      </x:c>
      <x:c r="H128" s="16" t="str">
        <x:v>Crack</x:v>
      </x:c>
      <x:c r="I128" s="16" t="n">
        <x:v>2</x:v>
      </x:c>
      <x:c r="J128" s="18" t="str">
        <x:v>PE000060</x:v>
      </x:c>
      <x:c r="K128" s="18" t="str">
        <x:f>A128&amp;"|"&amp;B128&amp;"|"&amp;C128&amp;"|"&amp;D128&amp;"|"&amp;E128</x:f>
        <x:v>KG01|25|45951|ORD-2025-00161|20</x:v>
      </x:c>
      <x:c r="L128" s="18" t="str">
        <x:f>IF(AND(G128&gt;=0,I128&gt;=0,I128&lt;=G128),"OK","CHECK")</x:f>
        <x:v>OK</x:v>
      </x:c>
      <x:c r="M128" s="18" t="str">
        <x:f>IF(COUNTIF(ProductionReference!$A$5:$A$74,J128)=1,"OK","LINK ERROR")</x:f>
        <x:v>OK</x:v>
      </x:c>
      <x:c r="N128" s="18" t="str">
        <x:f>IF(F128=INDEX(ProductionReference!$D$5:$D$74,MATCH(J128,ProductionReference!$A$5:$A$74,0)),"OK","SHIFT MISMATCH")</x:f>
        <x:v>OK</x:v>
      </x:c>
      <x:c r="O128" s="18" t="str">
        <x:f>IF(COUNTIFS($A$5:$A$149,A128,$B$5:$B$149,B128,$C$5:$C$149,C128,$D$5:$D$149,D128,$E$5:$E$149,E128,$H$5:$H$149,H128)=1,"OK","DUPLICATE")</x:f>
        <x:v>OK</x:v>
      </x:c>
      <x:c r="P128" s="18" t="n">
        <x:f>COUNTIF($K$5:$K$149,K128)</x:f>
        <x:v>1</x:v>
      </x:c>
    </x:row>
    <x:row r="129">
      <x:c r="A129" s="13" t="str">
        <x:v>KG01</x:v>
      </x:c>
      <x:c r="B129" s="13" t="n">
        <x:v>25</x:v>
      </x:c>
      <x:c r="C129" s="20" t="n">
        <x:v>45951</x:v>
      </x:c>
      <x:c r="D129" s="13" t="str">
        <x:v>ORD-2025-00161</x:v>
      </x:c>
      <x:c r="E129" s="13" t="n">
        <x:v>23</x:v>
      </x:c>
      <x:c r="F129" s="13" t="str">
        <x:v>PM</x:v>
      </x:c>
      <x:c r="G129" s="16" t="n">
        <x:v>200</x:v>
      </x:c>
      <x:c r="H129" s="16" t="str">
        <x:v>Choke Neck</x:v>
      </x:c>
      <x:c r="I129" s="16" t="n">
        <x:v>3</x:v>
      </x:c>
      <x:c r="J129" s="18" t="str">
        <x:v>PE000060</x:v>
      </x:c>
      <x:c r="K129" s="18" t="str">
        <x:f>A129&amp;"|"&amp;B129&amp;"|"&amp;C129&amp;"|"&amp;D129&amp;"|"&amp;E129</x:f>
        <x:v>KG01|25|45951|ORD-2025-00161|23</x:v>
      </x:c>
      <x:c r="L129" s="18" t="str">
        <x:f>IF(AND(G129&gt;=0,I129&gt;=0,I129&lt;=G129),"OK","CHECK")</x:f>
        <x:v>OK</x:v>
      </x:c>
      <x:c r="M129" s="18" t="str">
        <x:f>IF(COUNTIF(ProductionReference!$A$5:$A$74,J129)=1,"OK","LINK ERROR")</x:f>
        <x:v>OK</x:v>
      </x:c>
      <x:c r="N129" s="18" t="str">
        <x:f>IF(F129=INDEX(ProductionReference!$D$5:$D$74,MATCH(J129,ProductionReference!$A$5:$A$74,0)),"OK","SHIFT MISMATCH")</x:f>
        <x:v>OK</x:v>
      </x:c>
      <x:c r="O129" s="18" t="str">
        <x:f>IF(COUNTIFS($A$5:$A$149,A129,$B$5:$B$149,B129,$C$5:$C$149,C129,$D$5:$D$149,D129,$E$5:$E$149,E129,$H$5:$H$149,H129)=1,"OK","DUPLICATE")</x:f>
        <x:v>OK</x:v>
      </x:c>
      <x:c r="P129" s="18" t="n">
        <x:f>COUNTIF($K$5:$K$149,K129)</x:f>
        <x:v>1</x:v>
      </x:c>
    </x:row>
    <x:row r="130">
      <x:c r="A130" s="13" t="str">
        <x:v>KG01</x:v>
      </x:c>
      <x:c r="B130" s="13" t="n">
        <x:v>25</x:v>
      </x:c>
      <x:c r="C130" s="20" t="n">
        <x:v>45952</x:v>
      </x:c>
      <x:c r="D130" s="13" t="str">
        <x:v>ORD-2025-00161</x:v>
      </x:c>
      <x:c r="E130" s="13" t="n">
        <x:v>9</x:v>
      </x:c>
      <x:c r="F130" s="13" t="str">
        <x:v>AM</x:v>
      </x:c>
      <x:c r="G130" s="16" t="n">
        <x:v>50</x:v>
      </x:c>
      <x:c r="H130" s="16" t="str">
        <x:v>Crack</x:v>
      </x:c>
      <x:c r="I130" s="16" t="n">
        <x:v>0</x:v>
      </x:c>
      <x:c r="J130" s="18" t="str">
        <x:v>PE000061</x:v>
      </x:c>
      <x:c r="K130" s="18" t="str">
        <x:f>A130&amp;"|"&amp;B130&amp;"|"&amp;C130&amp;"|"&amp;D130&amp;"|"&amp;E130</x:f>
        <x:v>KG01|25|45952|ORD-2025-00161|9</x:v>
      </x:c>
      <x:c r="L130" s="18" t="str">
        <x:f>IF(AND(G130&gt;=0,I130&gt;=0,I130&lt;=G130),"OK","CHECK")</x:f>
        <x:v>OK</x:v>
      </x:c>
      <x:c r="M130" s="18" t="str">
        <x:f>IF(COUNTIF(ProductionReference!$A$5:$A$74,J130)=1,"OK","LINK ERROR")</x:f>
        <x:v>OK</x:v>
      </x:c>
      <x:c r="N130" s="18" t="str">
        <x:f>IF(F130=INDEX(ProductionReference!$D$5:$D$74,MATCH(J130,ProductionReference!$A$5:$A$74,0)),"OK","SHIFT MISMATCH")</x:f>
        <x:v>OK</x:v>
      </x:c>
      <x:c r="O130" s="18" t="str">
        <x:f>IF(COUNTIFS($A$5:$A$149,A130,$B$5:$B$149,B130,$C$5:$C$149,C130,$D$5:$D$149,D130,$E$5:$E$149,E130,$H$5:$H$149,H130)=1,"OK","DUPLICATE")</x:f>
        <x:v>OK</x:v>
      </x:c>
      <x:c r="P130" s="18" t="n">
        <x:f>COUNTIF($K$5:$K$149,K130)</x:f>
        <x:v>1</x:v>
      </x:c>
    </x:row>
    <x:row r="131">
      <x:c r="A131" s="13" t="str">
        <x:v>KG01</x:v>
      </x:c>
      <x:c r="B131" s="13" t="n">
        <x:v>25</x:v>
      </x:c>
      <x:c r="C131" s="20" t="n">
        <x:v>45952</x:v>
      </x:c>
      <x:c r="D131" s="13" t="str">
        <x:v>ORD-2025-00161</x:v>
      </x:c>
      <x:c r="E131" s="13" t="n">
        <x:v>15</x:v>
      </x:c>
      <x:c r="F131" s="13" t="str">
        <x:v>AM</x:v>
      </x:c>
      <x:c r="G131" s="16" t="n">
        <x:v>100</x:v>
      </x:c>
      <x:c r="H131" s="16" t="str">
        <x:v>Crack</x:v>
      </x:c>
      <x:c r="I131" s="16" t="n">
        <x:v>3</x:v>
      </x:c>
      <x:c r="J131" s="18" t="str">
        <x:v>PE000061</x:v>
      </x:c>
      <x:c r="K131" s="18" t="str">
        <x:f>A131&amp;"|"&amp;B131&amp;"|"&amp;C131&amp;"|"&amp;D131&amp;"|"&amp;E131</x:f>
        <x:v>KG01|25|45952|ORD-2025-00161|15</x:v>
      </x:c>
      <x:c r="L131" s="18" t="str">
        <x:f>IF(AND(G131&gt;=0,I131&gt;=0,I131&lt;=G131),"OK","CHECK")</x:f>
        <x:v>OK</x:v>
      </x:c>
      <x:c r="M131" s="18" t="str">
        <x:f>IF(COUNTIF(ProductionReference!$A$5:$A$74,J131)=1,"OK","LINK ERROR")</x:f>
        <x:v>OK</x:v>
      </x:c>
      <x:c r="N131" s="18" t="str">
        <x:f>IF(F131=INDEX(ProductionReference!$D$5:$D$74,MATCH(J131,ProductionReference!$A$5:$A$74,0)),"OK","SHIFT MISMATCH")</x:f>
        <x:v>OK</x:v>
      </x:c>
      <x:c r="O131" s="18" t="str">
        <x:f>IF(COUNTIFS($A$5:$A$149,A131,$B$5:$B$149,B131,$C$5:$C$149,C131,$D$5:$D$149,D131,$E$5:$E$149,E131,$H$5:$H$149,H131)=1,"OK","DUPLICATE")</x:f>
        <x:v>OK</x:v>
      </x:c>
      <x:c r="P131" s="18" t="n">
        <x:f>COUNTIF($K$5:$K$149,K131)</x:f>
        <x:v>1</x:v>
      </x:c>
    </x:row>
    <x:row r="132">
      <x:c r="A132" s="13" t="str">
        <x:v>KG01</x:v>
      </x:c>
      <x:c r="B132" s="13" t="n">
        <x:v>25</x:v>
      </x:c>
      <x:c r="C132" s="20" t="n">
        <x:v>45952</x:v>
      </x:c>
      <x:c r="D132" s="13" t="str">
        <x:v>ORD-2025-00161</x:v>
      </x:c>
      <x:c r="E132" s="13" t="n">
        <x:v>20</x:v>
      </x:c>
      <x:c r="F132" s="13" t="str">
        <x:v>PM</x:v>
      </x:c>
      <x:c r="G132" s="16" t="n">
        <x:v>100</x:v>
      </x:c>
      <x:c r="H132" s="16" t="str">
        <x:v>Choke Neck</x:v>
      </x:c>
      <x:c r="I132" s="16" t="n">
        <x:v>2</x:v>
      </x:c>
      <x:c r="J132" s="18" t="str">
        <x:v>PE000062</x:v>
      </x:c>
      <x:c r="K132" s="18" t="str">
        <x:f>A132&amp;"|"&amp;B132&amp;"|"&amp;C132&amp;"|"&amp;D132&amp;"|"&amp;E132</x:f>
        <x:v>KG01|25|45952|ORD-2025-00161|20</x:v>
      </x:c>
      <x:c r="L132" s="18" t="str">
        <x:f>IF(AND(G132&gt;=0,I132&gt;=0,I132&lt;=G132),"OK","CHECK")</x:f>
        <x:v>OK</x:v>
      </x:c>
      <x:c r="M132" s="18" t="str">
        <x:f>IF(COUNTIF(ProductionReference!$A$5:$A$74,J132)=1,"OK","LINK ERROR")</x:f>
        <x:v>OK</x:v>
      </x:c>
      <x:c r="N132" s="18" t="str">
        <x:f>IF(F132=INDEX(ProductionReference!$D$5:$D$74,MATCH(J132,ProductionReference!$A$5:$A$74,0)),"OK","SHIFT MISMATCH")</x:f>
        <x:v>OK</x:v>
      </x:c>
      <x:c r="O132" s="18" t="str">
        <x:f>IF(COUNTIFS($A$5:$A$149,A132,$B$5:$B$149,B132,$C$5:$C$149,C132,$D$5:$D$149,D132,$E$5:$E$149,E132,$H$5:$H$149,H132)=1,"OK","DUPLICATE")</x:f>
        <x:v>OK</x:v>
      </x:c>
      <x:c r="P132" s="18" t="n">
        <x:f>COUNTIF($K$5:$K$149,K132)</x:f>
        <x:v>1</x:v>
      </x:c>
    </x:row>
    <x:row r="133">
      <x:c r="A133" s="13" t="str">
        <x:v>KG01</x:v>
      </x:c>
      <x:c r="B133" s="13" t="n">
        <x:v>25</x:v>
      </x:c>
      <x:c r="C133" s="20" t="n">
        <x:v>45952</x:v>
      </x:c>
      <x:c r="D133" s="13" t="str">
        <x:v>ORD-2025-00161</x:v>
      </x:c>
      <x:c r="E133" s="13" t="n">
        <x:v>23</x:v>
      </x:c>
      <x:c r="F133" s="13" t="str">
        <x:v>PM</x:v>
      </x:c>
      <x:c r="G133" s="16" t="n">
        <x:v>50</x:v>
      </x:c>
      <x:c r="H133" s="16" t="str">
        <x:v>Overpress</x:v>
      </x:c>
      <x:c r="I133" s="16" t="n">
        <x:v>1</x:v>
      </x:c>
      <x:c r="J133" s="18" t="str">
        <x:v>PE000062</x:v>
      </x:c>
      <x:c r="K133" s="18" t="str">
        <x:f>A133&amp;"|"&amp;B133&amp;"|"&amp;C133&amp;"|"&amp;D133&amp;"|"&amp;E133</x:f>
        <x:v>KG01|25|45952|ORD-2025-00161|23</x:v>
      </x:c>
      <x:c r="L133" s="18" t="str">
        <x:f>IF(AND(G133&gt;=0,I133&gt;=0,I133&lt;=G133),"OK","CHECK")</x:f>
        <x:v>OK</x:v>
      </x:c>
      <x:c r="M133" s="18" t="str">
        <x:f>IF(COUNTIF(ProductionReference!$A$5:$A$74,J133)=1,"OK","LINK ERROR")</x:f>
        <x:v>OK</x:v>
      </x:c>
      <x:c r="N133" s="18" t="str">
        <x:f>IF(F133=INDEX(ProductionReference!$D$5:$D$74,MATCH(J133,ProductionReference!$A$5:$A$74,0)),"OK","SHIFT MISMATCH")</x:f>
        <x:v>OK</x:v>
      </x:c>
      <x:c r="O133" s="18" t="str">
        <x:f>IF(COUNTIFS($A$5:$A$149,A133,$B$5:$B$149,B133,$C$5:$C$149,C133,$D$5:$D$149,D133,$E$5:$E$149,E133,$H$5:$H$149,H133)=1,"OK","DUPLICATE")</x:f>
        <x:v>OK</x:v>
      </x:c>
      <x:c r="P133" s="18" t="n">
        <x:f>COUNTIF($K$5:$K$149,K133)</x:f>
        <x:v>1</x:v>
      </x:c>
    </x:row>
    <x:row r="134">
      <x:c r="A134" s="13" t="str">
        <x:v>KG01</x:v>
      </x:c>
      <x:c r="B134" s="13" t="n">
        <x:v>25</x:v>
      </x:c>
      <x:c r="C134" s="20" t="n">
        <x:v>45953</x:v>
      </x:c>
      <x:c r="D134" s="13" t="str">
        <x:v>ORD-2025-00162</x:v>
      </x:c>
      <x:c r="E134" s="13" t="n">
        <x:v>9</x:v>
      </x:c>
      <x:c r="F134" s="13" t="str">
        <x:v>AM</x:v>
      </x:c>
      <x:c r="G134" s="16" t="n">
        <x:v>100</x:v>
      </x:c>
      <x:c r="H134" s="16" t="str">
        <x:v>Thin Wall</x:v>
      </x:c>
      <x:c r="I134" s="16" t="n">
        <x:v>2</x:v>
      </x:c>
      <x:c r="J134" s="18" t="str">
        <x:v>PE000063</x:v>
      </x:c>
      <x:c r="K134" s="18" t="str">
        <x:f>A134&amp;"|"&amp;B134&amp;"|"&amp;C134&amp;"|"&amp;D134&amp;"|"&amp;E134</x:f>
        <x:v>KG01|25|45953|ORD-2025-00162|9</x:v>
      </x:c>
      <x:c r="L134" s="18" t="str">
        <x:f>IF(AND(G134&gt;=0,I134&gt;=0,I134&lt;=G134),"OK","CHECK")</x:f>
        <x:v>OK</x:v>
      </x:c>
      <x:c r="M134" s="18" t="str">
        <x:f>IF(COUNTIF(ProductionReference!$A$5:$A$74,J134)=1,"OK","LINK ERROR")</x:f>
        <x:v>OK</x:v>
      </x:c>
      <x:c r="N134" s="18" t="str">
        <x:f>IF(F134=INDEX(ProductionReference!$D$5:$D$74,MATCH(J134,ProductionReference!$A$5:$A$74,0)),"OK","SHIFT MISMATCH")</x:f>
        <x:v>OK</x:v>
      </x:c>
      <x:c r="O134" s="18" t="str">
        <x:f>IF(COUNTIFS($A$5:$A$149,A134,$B$5:$B$149,B134,$C$5:$C$149,C134,$D$5:$D$149,D134,$E$5:$E$149,E134,$H$5:$H$149,H134)=1,"OK","DUPLICATE")</x:f>
        <x:v>OK</x:v>
      </x:c>
      <x:c r="P134" s="18" t="n">
        <x:f>COUNTIF($K$5:$K$149,K134)</x:f>
        <x:v>1</x:v>
      </x:c>
    </x:row>
    <x:row r="135">
      <x:c r="A135" s="13" t="str">
        <x:v>KG01</x:v>
      </x:c>
      <x:c r="B135" s="13" t="n">
        <x:v>25</x:v>
      </x:c>
      <x:c r="C135" s="20" t="n">
        <x:v>45953</x:v>
      </x:c>
      <x:c r="D135" s="13" t="str">
        <x:v>ORD-2025-00162</x:v>
      </x:c>
      <x:c r="E135" s="13" t="n">
        <x:v>15</x:v>
      </x:c>
      <x:c r="F135" s="13" t="str">
        <x:v>AM</x:v>
      </x:c>
      <x:c r="G135" s="16" t="n">
        <x:v>200</x:v>
      </x:c>
      <x:c r="H135" s="16" t="str">
        <x:v>Chip</x:v>
      </x:c>
      <x:c r="I135" s="16" t="n">
        <x:v>5</x:v>
      </x:c>
      <x:c r="J135" s="18" t="str">
        <x:v>PE000063</x:v>
      </x:c>
      <x:c r="K135" s="18" t="str">
        <x:f>A135&amp;"|"&amp;B135&amp;"|"&amp;C135&amp;"|"&amp;D135&amp;"|"&amp;E135</x:f>
        <x:v>KG01|25|45953|ORD-2025-00162|15</x:v>
      </x:c>
      <x:c r="L135" s="18" t="str">
        <x:f>IF(AND(G135&gt;=0,I135&gt;=0,I135&lt;=G135),"OK","CHECK")</x:f>
        <x:v>OK</x:v>
      </x:c>
      <x:c r="M135" s="18" t="str">
        <x:f>IF(COUNTIF(ProductionReference!$A$5:$A$74,J135)=1,"OK","LINK ERROR")</x:f>
        <x:v>OK</x:v>
      </x:c>
      <x:c r="N135" s="18" t="str">
        <x:f>IF(F135=INDEX(ProductionReference!$D$5:$D$74,MATCH(J135,ProductionReference!$A$5:$A$74,0)),"OK","SHIFT MISMATCH")</x:f>
        <x:v>OK</x:v>
      </x:c>
      <x:c r="O135" s="18" t="str">
        <x:f>IF(COUNTIFS($A$5:$A$149,A135,$B$5:$B$149,B135,$C$5:$C$149,C135,$D$5:$D$149,D135,$E$5:$E$149,E135,$H$5:$H$149,H135)=1,"OK","DUPLICATE")</x:f>
        <x:v>OK</x:v>
      </x:c>
      <x:c r="P135" s="18" t="n">
        <x:f>COUNTIF($K$5:$K$149,K135)</x:f>
        <x:v>1</x:v>
      </x:c>
    </x:row>
    <x:row r="136">
      <x:c r="A136" s="13" t="str">
        <x:v>KG01</x:v>
      </x:c>
      <x:c r="B136" s="13" t="n">
        <x:v>25</x:v>
      </x:c>
      <x:c r="C136" s="20" t="n">
        <x:v>45953</x:v>
      </x:c>
      <x:c r="D136" s="13" t="str">
        <x:v>ORD-2025-00162</x:v>
      </x:c>
      <x:c r="E136" s="13" t="n">
        <x:v>20</x:v>
      </x:c>
      <x:c r="F136" s="13" t="str">
        <x:v>PM</x:v>
      </x:c>
      <x:c r="G136" s="16" t="n">
        <x:v>150</x:v>
      </x:c>
      <x:c r="H136" s="16" t="str">
        <x:v>Overpress</x:v>
      </x:c>
      <x:c r="I136" s="16" t="n">
        <x:v>2</x:v>
      </x:c>
      <x:c r="J136" s="18" t="str">
        <x:v>PE000064</x:v>
      </x:c>
      <x:c r="K136" s="18" t="str">
        <x:f>A136&amp;"|"&amp;B136&amp;"|"&amp;C136&amp;"|"&amp;D136&amp;"|"&amp;E136</x:f>
        <x:v>KG01|25|45953|ORD-2025-00162|20</x:v>
      </x:c>
      <x:c r="L136" s="18" t="str">
        <x:f>IF(AND(G136&gt;=0,I136&gt;=0,I136&lt;=G136),"OK","CHECK")</x:f>
        <x:v>OK</x:v>
      </x:c>
      <x:c r="M136" s="18" t="str">
        <x:f>IF(COUNTIF(ProductionReference!$A$5:$A$74,J136)=1,"OK","LINK ERROR")</x:f>
        <x:v>OK</x:v>
      </x:c>
      <x:c r="N136" s="18" t="str">
        <x:f>IF(F136=INDEX(ProductionReference!$D$5:$D$74,MATCH(J136,ProductionReference!$A$5:$A$74,0)),"OK","SHIFT MISMATCH")</x:f>
        <x:v>OK</x:v>
      </x:c>
      <x:c r="O136" s="18" t="str">
        <x:f>IF(COUNTIFS($A$5:$A$149,A136,$B$5:$B$149,B136,$C$5:$C$149,C136,$D$5:$D$149,D136,$E$5:$E$149,E136,$H$5:$H$149,H136)=1,"OK","DUPLICATE")</x:f>
        <x:v>OK</x:v>
      </x:c>
      <x:c r="P136" s="18" t="n">
        <x:f>COUNTIF($K$5:$K$149,K136)</x:f>
        <x:v>1</x:v>
      </x:c>
    </x:row>
    <x:row r="137">
      <x:c r="A137" s="13" t="str">
        <x:v>KG01</x:v>
      </x:c>
      <x:c r="B137" s="13" t="n">
        <x:v>25</x:v>
      </x:c>
      <x:c r="C137" s="20" t="n">
        <x:v>45953</x:v>
      </x:c>
      <x:c r="D137" s="13" t="str">
        <x:v>ORD-2025-00162</x:v>
      </x:c>
      <x:c r="E137" s="13" t="n">
        <x:v>23</x:v>
      </x:c>
      <x:c r="F137" s="13" t="str">
        <x:v>PM</x:v>
      </x:c>
      <x:c r="G137" s="16" t="n">
        <x:v>200</x:v>
      </x:c>
      <x:c r="H137" s="16" t="str">
        <x:v>Choke Neck</x:v>
      </x:c>
      <x:c r="I137" s="16" t="n">
        <x:v>7</x:v>
      </x:c>
      <x:c r="J137" s="18" t="str">
        <x:v>PE000064</x:v>
      </x:c>
      <x:c r="K137" s="18" t="str">
        <x:f>A137&amp;"|"&amp;B137&amp;"|"&amp;C137&amp;"|"&amp;D137&amp;"|"&amp;E137</x:f>
        <x:v>KG01|25|45953|ORD-2025-00162|23</x:v>
      </x:c>
      <x:c r="L137" s="18" t="str">
        <x:f>IF(AND(G137&gt;=0,I137&gt;=0,I137&lt;=G137),"OK","CHECK")</x:f>
        <x:v>OK</x:v>
      </x:c>
      <x:c r="M137" s="18" t="str">
        <x:f>IF(COUNTIF(ProductionReference!$A$5:$A$74,J137)=1,"OK","LINK ERROR")</x:f>
        <x:v>OK</x:v>
      </x:c>
      <x:c r="N137" s="18" t="str">
        <x:f>IF(F137=INDEX(ProductionReference!$D$5:$D$74,MATCH(J137,ProductionReference!$A$5:$A$74,0)),"OK","SHIFT MISMATCH")</x:f>
        <x:v>OK</x:v>
      </x:c>
      <x:c r="O137" s="18" t="str">
        <x:f>IF(COUNTIFS($A$5:$A$149,A137,$B$5:$B$149,B137,$C$5:$C$149,C137,$D$5:$D$149,D137,$E$5:$E$149,E137,$H$5:$H$149,H137)=1,"OK","DUPLICATE")</x:f>
        <x:v>OK</x:v>
      </x:c>
      <x:c r="P137" s="18" t="n">
        <x:f>COUNTIF($K$5:$K$149,K137)</x:f>
        <x:v>1</x:v>
      </x:c>
    </x:row>
    <x:row r="138">
      <x:c r="A138" s="13" t="str">
        <x:v>KG01</x:v>
      </x:c>
      <x:c r="B138" s="13" t="n">
        <x:v>25</x:v>
      </x:c>
      <x:c r="C138" s="20" t="n">
        <x:v>45954</x:v>
      </x:c>
      <x:c r="D138" s="13" t="str">
        <x:v>ORD-2025-00162</x:v>
      </x:c>
      <x:c r="E138" s="13" t="n">
        <x:v>9</x:v>
      </x:c>
      <x:c r="F138" s="13" t="str">
        <x:v>AM</x:v>
      </x:c>
      <x:c r="G138" s="16" t="n">
        <x:v>200</x:v>
      </x:c>
      <x:c r="H138" s="16" t="str">
        <x:v>Blister</x:v>
      </x:c>
      <x:c r="I138" s="16" t="n">
        <x:v>4</x:v>
      </x:c>
      <x:c r="J138" s="18" t="str">
        <x:v>PE000065</x:v>
      </x:c>
      <x:c r="K138" s="18" t="str">
        <x:f>A138&amp;"|"&amp;B138&amp;"|"&amp;C138&amp;"|"&amp;D138&amp;"|"&amp;E138</x:f>
        <x:v>KG01|25|45954|ORD-2025-00162|9</x:v>
      </x:c>
      <x:c r="L138" s="18" t="str">
        <x:f>IF(AND(G138&gt;=0,I138&gt;=0,I138&lt;=G138),"OK","CHECK")</x:f>
        <x:v>OK</x:v>
      </x:c>
      <x:c r="M138" s="18" t="str">
        <x:f>IF(COUNTIF(ProductionReference!$A$5:$A$74,J138)=1,"OK","LINK ERROR")</x:f>
        <x:v>OK</x:v>
      </x:c>
      <x:c r="N138" s="18" t="str">
        <x:f>IF(F138=INDEX(ProductionReference!$D$5:$D$74,MATCH(J138,ProductionReference!$A$5:$A$74,0)),"OK","SHIFT MISMATCH")</x:f>
        <x:v>OK</x:v>
      </x:c>
      <x:c r="O138" s="18" t="str">
        <x:f>IF(COUNTIFS($A$5:$A$149,A138,$B$5:$B$149,B138,$C$5:$C$149,C138,$D$5:$D$149,D138,$E$5:$E$149,E138,$H$5:$H$149,H138)=1,"OK","DUPLICATE")</x:f>
        <x:v>OK</x:v>
      </x:c>
      <x:c r="P138" s="18" t="n">
        <x:f>COUNTIF($K$5:$K$149,K138)</x:f>
        <x:v>1</x:v>
      </x:c>
    </x:row>
    <x:row r="139">
      <x:c r="A139" s="13" t="str">
        <x:v>KG01</x:v>
      </x:c>
      <x:c r="B139" s="13" t="n">
        <x:v>25</x:v>
      </x:c>
      <x:c r="C139" s="20" t="n">
        <x:v>45954</x:v>
      </x:c>
      <x:c r="D139" s="13" t="str">
        <x:v>ORD-2025-00162</x:v>
      </x:c>
      <x:c r="E139" s="13" t="n">
        <x:v>15</x:v>
      </x:c>
      <x:c r="F139" s="13" t="str">
        <x:v>AM</x:v>
      </x:c>
      <x:c r="G139" s="16" t="n">
        <x:v>150</x:v>
      </x:c>
      <x:c r="H139" s="16" t="str">
        <x:v>Thin Wall</x:v>
      </x:c>
      <x:c r="I139" s="16" t="n">
        <x:v>5</x:v>
      </x:c>
      <x:c r="J139" s="18" t="str">
        <x:v>PE000065</x:v>
      </x:c>
      <x:c r="K139" s="18" t="str">
        <x:f>A139&amp;"|"&amp;B139&amp;"|"&amp;C139&amp;"|"&amp;D139&amp;"|"&amp;E139</x:f>
        <x:v>KG01|25|45954|ORD-2025-00162|15</x:v>
      </x:c>
      <x:c r="L139" s="18" t="str">
        <x:f>IF(AND(G139&gt;=0,I139&gt;=0,I139&lt;=G139),"OK","CHECK")</x:f>
        <x:v>OK</x:v>
      </x:c>
      <x:c r="M139" s="18" t="str">
        <x:f>IF(COUNTIF(ProductionReference!$A$5:$A$74,J139)=1,"OK","LINK ERROR")</x:f>
        <x:v>OK</x:v>
      </x:c>
      <x:c r="N139" s="18" t="str">
        <x:f>IF(F139=INDEX(ProductionReference!$D$5:$D$74,MATCH(J139,ProductionReference!$A$5:$A$74,0)),"OK","SHIFT MISMATCH")</x:f>
        <x:v>OK</x:v>
      </x:c>
      <x:c r="O139" s="18" t="str">
        <x:f>IF(COUNTIFS($A$5:$A$149,A139,$B$5:$B$149,B139,$C$5:$C$149,C139,$D$5:$D$149,D139,$E$5:$E$149,E139,$H$5:$H$149,H139)=1,"OK","DUPLICATE")</x:f>
        <x:v>OK</x:v>
      </x:c>
      <x:c r="P139" s="18" t="n">
        <x:f>COUNTIF($K$5:$K$149,K139)</x:f>
        <x:v>1</x:v>
      </x:c>
    </x:row>
    <x:row r="140">
      <x:c r="A140" s="13" t="str">
        <x:v>KG01</x:v>
      </x:c>
      <x:c r="B140" s="13" t="n">
        <x:v>25</x:v>
      </x:c>
      <x:c r="C140" s="20" t="n">
        <x:v>45954</x:v>
      </x:c>
      <x:c r="D140" s="13" t="str">
        <x:v>ORD-2025-00162</x:v>
      </x:c>
      <x:c r="E140" s="13" t="n">
        <x:v>20</x:v>
      </x:c>
      <x:c r="F140" s="13" t="str">
        <x:v>PM</x:v>
      </x:c>
      <x:c r="G140" s="16" t="n">
        <x:v>100</x:v>
      </x:c>
      <x:c r="H140" s="16" t="str">
        <x:v>Choke Neck</x:v>
      </x:c>
      <x:c r="I140" s="16" t="n">
        <x:v>3</x:v>
      </x:c>
      <x:c r="J140" s="18" t="str">
        <x:v>PE000066</x:v>
      </x:c>
      <x:c r="K140" s="18" t="str">
        <x:f>A140&amp;"|"&amp;B140&amp;"|"&amp;C140&amp;"|"&amp;D140&amp;"|"&amp;E140</x:f>
        <x:v>KG01|25|45954|ORD-2025-00162|20</x:v>
      </x:c>
      <x:c r="L140" s="18" t="str">
        <x:f>IF(AND(G140&gt;=0,I140&gt;=0,I140&lt;=G140),"OK","CHECK")</x:f>
        <x:v>OK</x:v>
      </x:c>
      <x:c r="M140" s="18" t="str">
        <x:f>IF(COUNTIF(ProductionReference!$A$5:$A$74,J140)=1,"OK","LINK ERROR")</x:f>
        <x:v>OK</x:v>
      </x:c>
      <x:c r="N140" s="18" t="str">
        <x:f>IF(F140=INDEX(ProductionReference!$D$5:$D$74,MATCH(J140,ProductionReference!$A$5:$A$74,0)),"OK","SHIFT MISMATCH")</x:f>
        <x:v>OK</x:v>
      </x:c>
      <x:c r="O140" s="18" t="str">
        <x:f>IF(COUNTIFS($A$5:$A$149,A140,$B$5:$B$149,B140,$C$5:$C$149,C140,$D$5:$D$149,D140,$E$5:$E$149,E140,$H$5:$H$149,H140)=1,"OK","DUPLICATE")</x:f>
        <x:v>OK</x:v>
      </x:c>
      <x:c r="P140" s="18" t="n">
        <x:f>COUNTIF($K$5:$K$149,K140)</x:f>
        <x:v>1</x:v>
      </x:c>
    </x:row>
    <x:row r="141">
      <x:c r="A141" s="13" t="str">
        <x:v>KG01</x:v>
      </x:c>
      <x:c r="B141" s="13" t="n">
        <x:v>25</x:v>
      </x:c>
      <x:c r="C141" s="20" t="n">
        <x:v>45954</x:v>
      </x:c>
      <x:c r="D141" s="13" t="str">
        <x:v>ORD-2025-00162</x:v>
      </x:c>
      <x:c r="E141" s="13" t="n">
        <x:v>23</x:v>
      </x:c>
      <x:c r="F141" s="13" t="str">
        <x:v>PM</x:v>
      </x:c>
      <x:c r="G141" s="16" t="n">
        <x:v>50</x:v>
      </x:c>
      <x:c r="H141" s="16" t="str">
        <x:v>Chip</x:v>
      </x:c>
      <x:c r="I141" s="16" t="n">
        <x:v>1</x:v>
      </x:c>
      <x:c r="J141" s="18" t="str">
        <x:v>PE000066</x:v>
      </x:c>
      <x:c r="K141" s="18" t="str">
        <x:f>A141&amp;"|"&amp;B141&amp;"|"&amp;C141&amp;"|"&amp;D141&amp;"|"&amp;E141</x:f>
        <x:v>KG01|25|45954|ORD-2025-00162|23</x:v>
      </x:c>
      <x:c r="L141" s="18" t="str">
        <x:f>IF(AND(G141&gt;=0,I141&gt;=0,I141&lt;=G141),"OK","CHECK")</x:f>
        <x:v>OK</x:v>
      </x:c>
      <x:c r="M141" s="18" t="str">
        <x:f>IF(COUNTIF(ProductionReference!$A$5:$A$74,J141)=1,"OK","LINK ERROR")</x:f>
        <x:v>OK</x:v>
      </x:c>
      <x:c r="N141" s="18" t="str">
        <x:f>IF(F141=INDEX(ProductionReference!$D$5:$D$74,MATCH(J141,ProductionReference!$A$5:$A$74,0)),"OK","SHIFT MISMATCH")</x:f>
        <x:v>OK</x:v>
      </x:c>
      <x:c r="O141" s="18" t="str">
        <x:f>IF(COUNTIFS($A$5:$A$149,A141,$B$5:$B$149,B141,$C$5:$C$149,C141,$D$5:$D$149,D141,$E$5:$E$149,E141,$H$5:$H$149,H141)=1,"OK","DUPLICATE")</x:f>
        <x:v>OK</x:v>
      </x:c>
      <x:c r="P141" s="18" t="n">
        <x:f>COUNTIF($K$5:$K$149,K141)</x:f>
        <x:v>1</x:v>
      </x:c>
    </x:row>
    <x:row r="142">
      <x:c r="A142" s="13" t="str">
        <x:v>KG01</x:v>
      </x:c>
      <x:c r="B142" s="13" t="n">
        <x:v>25</x:v>
      </x:c>
      <x:c r="C142" s="20" t="n">
        <x:v>45955</x:v>
      </x:c>
      <x:c r="D142" s="13" t="str">
        <x:v>ORD-2025-00162</x:v>
      </x:c>
      <x:c r="E142" s="13" t="n">
        <x:v>9</x:v>
      </x:c>
      <x:c r="F142" s="13" t="str">
        <x:v>AM</x:v>
      </x:c>
      <x:c r="G142" s="16" t="n">
        <x:v>200</x:v>
      </x:c>
      <x:c r="H142" s="16" t="str">
        <x:v>Choke Neck</x:v>
      </x:c>
      <x:c r="I142" s="16" t="n">
        <x:v>1</x:v>
      </x:c>
      <x:c r="J142" s="18" t="str">
        <x:v>PE000067</x:v>
      </x:c>
      <x:c r="K142" s="18" t="str">
        <x:f>A142&amp;"|"&amp;B142&amp;"|"&amp;C142&amp;"|"&amp;D142&amp;"|"&amp;E142</x:f>
        <x:v>KG01|25|45955|ORD-2025-00162|9</x:v>
      </x:c>
      <x:c r="L142" s="18" t="str">
        <x:f>IF(AND(G142&gt;=0,I142&gt;=0,I142&lt;=G142),"OK","CHECK")</x:f>
        <x:v>OK</x:v>
      </x:c>
      <x:c r="M142" s="18" t="str">
        <x:f>IF(COUNTIF(ProductionReference!$A$5:$A$74,J142)=1,"OK","LINK ERROR")</x:f>
        <x:v>OK</x:v>
      </x:c>
      <x:c r="N142" s="18" t="str">
        <x:f>IF(F142=INDEX(ProductionReference!$D$5:$D$74,MATCH(J142,ProductionReference!$A$5:$A$74,0)),"OK","SHIFT MISMATCH")</x:f>
        <x:v>OK</x:v>
      </x:c>
      <x:c r="O142" s="18" t="str">
        <x:f>IF(COUNTIFS($A$5:$A$149,A142,$B$5:$B$149,B142,$C$5:$C$149,C142,$D$5:$D$149,D142,$E$5:$E$149,E142,$H$5:$H$149,H142)=1,"OK","DUPLICATE")</x:f>
        <x:v>OK</x:v>
      </x:c>
      <x:c r="P142" s="18" t="n">
        <x:f>COUNTIF($K$5:$K$149,K142)</x:f>
        <x:v>1</x:v>
      </x:c>
    </x:row>
    <x:row r="143">
      <x:c r="A143" s="13" t="str">
        <x:v>KG01</x:v>
      </x:c>
      <x:c r="B143" s="13" t="n">
        <x:v>25</x:v>
      </x:c>
      <x:c r="C143" s="20" t="n">
        <x:v>45955</x:v>
      </x:c>
      <x:c r="D143" s="13" t="str">
        <x:v>ORD-2025-00162</x:v>
      </x:c>
      <x:c r="E143" s="13" t="n">
        <x:v>15</x:v>
      </x:c>
      <x:c r="F143" s="13" t="str">
        <x:v>AM</x:v>
      </x:c>
      <x:c r="G143" s="16" t="n">
        <x:v>100</x:v>
      </x:c>
      <x:c r="H143" s="16" t="str">
        <x:v>Distortion</x:v>
      </x:c>
      <x:c r="I143" s="16" t="n">
        <x:v>3</x:v>
      </x:c>
      <x:c r="J143" s="18" t="str">
        <x:v>PE000067</x:v>
      </x:c>
      <x:c r="K143" s="18" t="str">
        <x:f>A143&amp;"|"&amp;B143&amp;"|"&amp;C143&amp;"|"&amp;D143&amp;"|"&amp;E143</x:f>
        <x:v>KG01|25|45955|ORD-2025-00162|15</x:v>
      </x:c>
      <x:c r="L143" s="18" t="str">
        <x:f>IF(AND(G143&gt;=0,I143&gt;=0,I143&lt;=G143),"OK","CHECK")</x:f>
        <x:v>OK</x:v>
      </x:c>
      <x:c r="M143" s="18" t="str">
        <x:f>IF(COUNTIF(ProductionReference!$A$5:$A$74,J143)=1,"OK","LINK ERROR")</x:f>
        <x:v>OK</x:v>
      </x:c>
      <x:c r="N143" s="18" t="str">
        <x:f>IF(F143=INDEX(ProductionReference!$D$5:$D$74,MATCH(J143,ProductionReference!$A$5:$A$74,0)),"OK","SHIFT MISMATCH")</x:f>
        <x:v>OK</x:v>
      </x:c>
      <x:c r="O143" s="18" t="str">
        <x:f>IF(COUNTIFS($A$5:$A$149,A143,$B$5:$B$149,B143,$C$5:$C$149,C143,$D$5:$D$149,D143,$E$5:$E$149,E143,$H$5:$H$149,H143)=1,"OK","DUPLICATE")</x:f>
        <x:v>OK</x:v>
      </x:c>
      <x:c r="P143" s="18" t="n">
        <x:f>COUNTIF($K$5:$K$149,K143)</x:f>
        <x:v>1</x:v>
      </x:c>
    </x:row>
    <x:row r="144">
      <x:c r="A144" s="13" t="str">
        <x:v>KG01</x:v>
      </x:c>
      <x:c r="B144" s="13" t="n">
        <x:v>25</x:v>
      </x:c>
      <x:c r="C144" s="20" t="n">
        <x:v>45955</x:v>
      </x:c>
      <x:c r="D144" s="13" t="str">
        <x:v>ORD-2025-00162</x:v>
      </x:c>
      <x:c r="E144" s="13" t="n">
        <x:v>20</x:v>
      </x:c>
      <x:c r="F144" s="13" t="str">
        <x:v>PM</x:v>
      </x:c>
      <x:c r="G144" s="16" t="n">
        <x:v>200</x:v>
      </x:c>
      <x:c r="H144" s="16" t="str">
        <x:v>Thin Wall</x:v>
      </x:c>
      <x:c r="I144" s="16" t="n">
        <x:v>1</x:v>
      </x:c>
      <x:c r="J144" s="18" t="str">
        <x:v>PE000068</x:v>
      </x:c>
      <x:c r="K144" s="18" t="str">
        <x:f>A144&amp;"|"&amp;B144&amp;"|"&amp;C144&amp;"|"&amp;D144&amp;"|"&amp;E144</x:f>
        <x:v>KG01|25|45955|ORD-2025-00162|20</x:v>
      </x:c>
      <x:c r="L144" s="18" t="str">
        <x:f>IF(AND(G144&gt;=0,I144&gt;=0,I144&lt;=G144),"OK","CHECK")</x:f>
        <x:v>OK</x:v>
      </x:c>
      <x:c r="M144" s="18" t="str">
        <x:f>IF(COUNTIF(ProductionReference!$A$5:$A$74,J144)=1,"OK","LINK ERROR")</x:f>
        <x:v>OK</x:v>
      </x:c>
      <x:c r="N144" s="18" t="str">
        <x:f>IF(F144=INDEX(ProductionReference!$D$5:$D$74,MATCH(J144,ProductionReference!$A$5:$A$74,0)),"OK","SHIFT MISMATCH")</x:f>
        <x:v>OK</x:v>
      </x:c>
      <x:c r="O144" s="18" t="str">
        <x:f>IF(COUNTIFS($A$5:$A$149,A144,$B$5:$B$149,B144,$C$5:$C$149,C144,$D$5:$D$149,D144,$E$5:$E$149,E144,$H$5:$H$149,H144)=1,"OK","DUPLICATE")</x:f>
        <x:v>OK</x:v>
      </x:c>
      <x:c r="P144" s="18" t="n">
        <x:f>COUNTIF($K$5:$K$149,K144)</x:f>
        <x:v>1</x:v>
      </x:c>
    </x:row>
    <x:row r="145">
      <x:c r="A145" s="13" t="str">
        <x:v>KG01</x:v>
      </x:c>
      <x:c r="B145" s="13" t="n">
        <x:v>25</x:v>
      </x:c>
      <x:c r="C145" s="20" t="n">
        <x:v>45955</x:v>
      </x:c>
      <x:c r="D145" s="13" t="str">
        <x:v>ORD-2025-00162</x:v>
      </x:c>
      <x:c r="E145" s="13" t="n">
        <x:v>23</x:v>
      </x:c>
      <x:c r="F145" s="13" t="str">
        <x:v>PM</x:v>
      </x:c>
      <x:c r="G145" s="16" t="n">
        <x:v>50</x:v>
      </x:c>
      <x:c r="H145" s="16" t="str">
        <x:v>Thin Wall</x:v>
      </x:c>
      <x:c r="I145" s="16" t="n">
        <x:v>0</x:v>
      </x:c>
      <x:c r="J145" s="18" t="str">
        <x:v>PE000068</x:v>
      </x:c>
      <x:c r="K145" s="18" t="str">
        <x:f>A145&amp;"|"&amp;B145&amp;"|"&amp;C145&amp;"|"&amp;D145&amp;"|"&amp;E145</x:f>
        <x:v>KG01|25|45955|ORD-2025-00162|23</x:v>
      </x:c>
      <x:c r="L145" s="18" t="str">
        <x:f>IF(AND(G145&gt;=0,I145&gt;=0,I145&lt;=G145),"OK","CHECK")</x:f>
        <x:v>OK</x:v>
      </x:c>
      <x:c r="M145" s="18" t="str">
        <x:f>IF(COUNTIF(ProductionReference!$A$5:$A$74,J145)=1,"OK","LINK ERROR")</x:f>
        <x:v>OK</x:v>
      </x:c>
      <x:c r="N145" s="18" t="str">
        <x:f>IF(F145=INDEX(ProductionReference!$D$5:$D$74,MATCH(J145,ProductionReference!$A$5:$A$74,0)),"OK","SHIFT MISMATCH")</x:f>
        <x:v>OK</x:v>
      </x:c>
      <x:c r="O145" s="18" t="str">
        <x:f>IF(COUNTIFS($A$5:$A$149,A145,$B$5:$B$149,B145,$C$5:$C$149,C145,$D$5:$D$149,D145,$E$5:$E$149,E145,$H$5:$H$149,H145)=1,"OK","DUPLICATE")</x:f>
        <x:v>OK</x:v>
      </x:c>
      <x:c r="P145" s="18" t="n">
        <x:f>COUNTIF($K$5:$K$149,K145)</x:f>
        <x:v>1</x:v>
      </x:c>
    </x:row>
    <x:row r="146">
      <x:c r="A146" s="13" t="str">
        <x:v>KG01</x:v>
      </x:c>
      <x:c r="B146" s="13" t="n">
        <x:v>25</x:v>
      </x:c>
      <x:c r="C146" s="20" t="n">
        <x:v>45956</x:v>
      </x:c>
      <x:c r="D146" s="13" t="str">
        <x:v>ORD-2025-00162</x:v>
      </x:c>
      <x:c r="E146" s="13" t="n">
        <x:v>9</x:v>
      </x:c>
      <x:c r="F146" s="13" t="str">
        <x:v>AM</x:v>
      </x:c>
      <x:c r="G146" s="16" t="n">
        <x:v>150</x:v>
      </x:c>
      <x:c r="H146" s="16" t="str">
        <x:v>Blister</x:v>
      </x:c>
      <x:c r="I146" s="16" t="n">
        <x:v>3</x:v>
      </x:c>
      <x:c r="J146" s="18" t="str">
        <x:v>PE000069</x:v>
      </x:c>
      <x:c r="K146" s="18" t="str">
        <x:f>A146&amp;"|"&amp;B146&amp;"|"&amp;C146&amp;"|"&amp;D146&amp;"|"&amp;E146</x:f>
        <x:v>KG01|25|45956|ORD-2025-00162|9</x:v>
      </x:c>
      <x:c r="L146" s="18" t="str">
        <x:f>IF(AND(G146&gt;=0,I146&gt;=0,I146&lt;=G146),"OK","CHECK")</x:f>
        <x:v>OK</x:v>
      </x:c>
      <x:c r="M146" s="18" t="str">
        <x:f>IF(COUNTIF(ProductionReference!$A$5:$A$74,J146)=1,"OK","LINK ERROR")</x:f>
        <x:v>OK</x:v>
      </x:c>
      <x:c r="N146" s="18" t="str">
        <x:f>IF(F146=INDEX(ProductionReference!$D$5:$D$74,MATCH(J146,ProductionReference!$A$5:$A$74,0)),"OK","SHIFT MISMATCH")</x:f>
        <x:v>OK</x:v>
      </x:c>
      <x:c r="O146" s="18" t="str">
        <x:f>IF(COUNTIFS($A$5:$A$149,A146,$B$5:$B$149,B146,$C$5:$C$149,C146,$D$5:$D$149,D146,$E$5:$E$149,E146,$H$5:$H$149,H146)=1,"OK","DUPLICATE")</x:f>
        <x:v>OK</x:v>
      </x:c>
      <x:c r="P146" s="18" t="n">
        <x:f>COUNTIF($K$5:$K$149,K146)</x:f>
        <x:v>1</x:v>
      </x:c>
    </x:row>
    <x:row r="147">
      <x:c r="A147" s="13" t="str">
        <x:v>KG01</x:v>
      </x:c>
      <x:c r="B147" s="13" t="n">
        <x:v>25</x:v>
      </x:c>
      <x:c r="C147" s="20" t="n">
        <x:v>45956</x:v>
      </x:c>
      <x:c r="D147" s="13" t="str">
        <x:v>ORD-2025-00162</x:v>
      </x:c>
      <x:c r="E147" s="13" t="n">
        <x:v>15</x:v>
      </x:c>
      <x:c r="F147" s="13" t="str">
        <x:v>AM</x:v>
      </x:c>
      <x:c r="G147" s="16" t="n">
        <x:v>200</x:v>
      </x:c>
      <x:c r="H147" s="16" t="str">
        <x:v>Overpress</x:v>
      </x:c>
      <x:c r="I147" s="16" t="n">
        <x:v>7</x:v>
      </x:c>
      <x:c r="J147" s="18" t="str">
        <x:v>PE000069</x:v>
      </x:c>
      <x:c r="K147" s="18" t="str">
        <x:f>A147&amp;"|"&amp;B147&amp;"|"&amp;C147&amp;"|"&amp;D147&amp;"|"&amp;E147</x:f>
        <x:v>KG01|25|45956|ORD-2025-00162|15</x:v>
      </x:c>
      <x:c r="L147" s="18" t="str">
        <x:f>IF(AND(G147&gt;=0,I147&gt;=0,I147&lt;=G147),"OK","CHECK")</x:f>
        <x:v>OK</x:v>
      </x:c>
      <x:c r="M147" s="18" t="str">
        <x:f>IF(COUNTIF(ProductionReference!$A$5:$A$74,J147)=1,"OK","LINK ERROR")</x:f>
        <x:v>OK</x:v>
      </x:c>
      <x:c r="N147" s="18" t="str">
        <x:f>IF(F147=INDEX(ProductionReference!$D$5:$D$74,MATCH(J147,ProductionReference!$A$5:$A$74,0)),"OK","SHIFT MISMATCH")</x:f>
        <x:v>OK</x:v>
      </x:c>
      <x:c r="O147" s="18" t="str">
        <x:f>IF(COUNTIFS($A$5:$A$149,A147,$B$5:$B$149,B147,$C$5:$C$149,C147,$D$5:$D$149,D147,$E$5:$E$149,E147,$H$5:$H$149,H147)=1,"OK","DUPLICATE")</x:f>
        <x:v>OK</x:v>
      </x:c>
      <x:c r="P147" s="18" t="n">
        <x:f>COUNTIF($K$5:$K$149,K147)</x:f>
        <x:v>1</x:v>
      </x:c>
    </x:row>
    <x:row r="148">
      <x:c r="A148" s="13" t="str">
        <x:v>KG01</x:v>
      </x:c>
      <x:c r="B148" s="13" t="n">
        <x:v>25</x:v>
      </x:c>
      <x:c r="C148" s="20" t="n">
        <x:v>45956</x:v>
      </x:c>
      <x:c r="D148" s="13" t="str">
        <x:v>ORD-2025-00162</x:v>
      </x:c>
      <x:c r="E148" s="13" t="n">
        <x:v>20</x:v>
      </x:c>
      <x:c r="F148" s="13" t="str">
        <x:v>PM</x:v>
      </x:c>
      <x:c r="G148" s="16" t="n">
        <x:v>200</x:v>
      </x:c>
      <x:c r="H148" s="16" t="str">
        <x:v>Stone</x:v>
      </x:c>
      <x:c r="I148" s="16" t="n">
        <x:v>4</x:v>
      </x:c>
      <x:c r="J148" s="18" t="str">
        <x:v>PE000070</x:v>
      </x:c>
      <x:c r="K148" s="18" t="str">
        <x:f>A148&amp;"|"&amp;B148&amp;"|"&amp;C148&amp;"|"&amp;D148&amp;"|"&amp;E148</x:f>
        <x:v>KG01|25|45956|ORD-2025-00162|20</x:v>
      </x:c>
      <x:c r="L148" s="18" t="str">
        <x:f>IF(AND(G148&gt;=0,I148&gt;=0,I148&lt;=G148),"OK","CHECK")</x:f>
        <x:v>OK</x:v>
      </x:c>
      <x:c r="M148" s="18" t="str">
        <x:f>IF(COUNTIF(ProductionReference!$A$5:$A$74,J148)=1,"OK","LINK ERROR")</x:f>
        <x:v>OK</x:v>
      </x:c>
      <x:c r="N148" s="18" t="str">
        <x:f>IF(F148=INDEX(ProductionReference!$D$5:$D$74,MATCH(J148,ProductionReference!$A$5:$A$74,0)),"OK","SHIFT MISMATCH")</x:f>
        <x:v>OK</x:v>
      </x:c>
      <x:c r="O148" s="18" t="str">
        <x:f>IF(COUNTIFS($A$5:$A$149,A148,$B$5:$B$149,B148,$C$5:$C$149,C148,$D$5:$D$149,D148,$E$5:$E$149,E148,$H$5:$H$149,H148)=1,"OK","DUPLICATE")</x:f>
        <x:v>OK</x:v>
      </x:c>
      <x:c r="P148" s="18" t="n">
        <x:f>COUNTIF($K$5:$K$149,K148)</x:f>
        <x:v>1</x:v>
      </x:c>
    </x:row>
    <x:row r="149">
      <x:c r="A149" s="13" t="str">
        <x:v>KG01</x:v>
      </x:c>
      <x:c r="B149" s="13" t="n">
        <x:v>25</x:v>
      </x:c>
      <x:c r="C149" s="20" t="n">
        <x:v>45956</x:v>
      </x:c>
      <x:c r="D149" s="13" t="str">
        <x:v>ORD-2025-00162</x:v>
      </x:c>
      <x:c r="E149" s="13" t="n">
        <x:v>23</x:v>
      </x:c>
      <x:c r="F149" s="13" t="str">
        <x:v>PM</x:v>
      </x:c>
      <x:c r="G149" s="16" t="n">
        <x:v>100</x:v>
      </x:c>
      <x:c r="H149" s="16" t="str">
        <x:v>Crack</x:v>
      </x:c>
      <x:c r="I149" s="16" t="n">
        <x:v>4</x:v>
      </x:c>
      <x:c r="J149" s="18" t="str">
        <x:v>PE000070</x:v>
      </x:c>
      <x:c r="K149" s="18" t="str">
        <x:f>A149&amp;"|"&amp;B149&amp;"|"&amp;C149&amp;"|"&amp;D149&amp;"|"&amp;E149</x:f>
        <x:v>KG01|25|45956|ORD-2025-00162|23</x:v>
      </x:c>
      <x:c r="L149" s="18" t="str">
        <x:f>IF(AND(G149&gt;=0,I149&gt;=0,I149&lt;=G149),"OK","CHECK")</x:f>
        <x:v>OK</x:v>
      </x:c>
      <x:c r="M149" s="18" t="str">
        <x:f>IF(COUNTIF(ProductionReference!$A$5:$A$74,J149)=1,"OK","LINK ERROR")</x:f>
        <x:v>OK</x:v>
      </x:c>
      <x:c r="N149" s="18" t="str">
        <x:f>IF(F149=INDEX(ProductionReference!$D$5:$D$74,MATCH(J149,ProductionReference!$A$5:$A$74,0)),"OK","SHIFT MISMATCH")</x:f>
        <x:v>OK</x:v>
      </x:c>
      <x:c r="O149" s="18" t="str">
        <x:f>IF(COUNTIFS($A$5:$A$149,A149,$B$5:$B$149,B149,$C$5:$C$149,C149,$D$5:$D$149,D149,$E$5:$E$149,E149,$H$5:$H$149,H149)=1,"OK","DUPLICATE")</x:f>
        <x:v>OK</x:v>
      </x:c>
      <x:c r="P149" s="18" t="n">
        <x:f>COUNTIF($K$5:$K$149,K149)</x:f>
        <x:v>1</x:v>
      </x:c>
    </x:row>
  </x:sheetData>
  <x:conditionalFormatting sqref="L5:L149">
    <x:cfRule type="expression" dxfId="0" priority="1">
      <x:formula>L5&lt;&gt;"OK"</x:formula>
    </x:cfRule>
  </x:conditionalFormatting>
  <x:conditionalFormatting sqref="M5:M149">
    <x:cfRule type="expression" dxfId="1" priority="2">
      <x:formula>M5&lt;&gt;"OK"</x:formula>
    </x:cfRule>
  </x:conditionalFormatting>
  <x:conditionalFormatting sqref="N5:N149">
    <x:cfRule type="expression" dxfId="2" priority="3">
      <x:formula>N5&lt;&gt;"OK"</x:formula>
    </x:cfRule>
  </x:conditionalFormatting>
  <x:conditionalFormatting sqref="O5:O149">
    <x:cfRule type="expression" dxfId="3" priority="4">
      <x:formula>O5&lt;&gt;"OK"</x:formula>
    </x:cfRule>
  </x:conditionalFormatting>
  <x:conditionalFormatting sqref="P5:P149">
    <x:cfRule type="expression" dxfId="4" priority="5">
      <x:formula>P5&gt;1</x:formula>
    </x:cfRule>
  </x:conditionalFormatting>
  <x:dataValidations count="7">
    <x:dataValidation type="list" sqref="B5:B1000">
      <x:formula1>"21,22,23,24,25"</x:formula1>
    </x:dataValidation>
    <x:dataValidation type="list" sqref="D5:D1000">
      <x:formula1>"ORD-2025-00019,ORD-2025-00020,ORD-2025-00021,ORD-2025-00055,ORD-2025-00056,ORD-2025-00057,ORD-2025-00058,ORD-2025-00092,ORD-2025-00093,ORD-2025-00094,ORD-2025-00124,ORD-2025-00125,ORD-2025-00126,ORD-2025-00161,ORD-2025-00162"</x:formula1>
    </x:dataValidation>
    <x:dataValidation operator="between" sqref="E5:E1000">
      <x:formula1>0</x:formula1>
      <x:formula2>23</x:formula2>
    </x:dataValidation>
    <x:dataValidation type="list" sqref="F5:F1000">
      <x:formula1>"AM,PM"</x:formula1>
    </x:dataValidation>
    <x:dataValidation sqref="G5:G1000">
      <x:formula1>0</x:formula1>
    </x:dataValidation>
    <x:dataValidation type="list" sqref="H5:H1000">
      <x:formula1>"Crack,Chip,Blister,Distortion,Stone,Bird Swing,Overpress,Thin Wall,Choke Neck"</x:formula1>
    </x:dataValidation>
    <x:dataValidation sqref="I5:I1000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.380001068115234" hidden="0" customWidth="1"/>
    <x:col min="2" max="2" width="9.880000114440918" hidden="0" customWidth="1"/>
    <x:col min="3" max="3" width="8.380000114440918" hidden="0" customWidth="1"/>
    <x:col min="4" max="4" width="7.880000114440918" hidden="0" customWidth="1"/>
    <x:col min="5" max="5" width="15.380000114440918" hidden="0" customWidth="1"/>
    <x:col min="6" max="6" width="15.630000114440918" hidden="0" customWidth="1"/>
    <x:col min="7" max="7" width="10.130000114440918" hidden="0" customWidth="1"/>
    <x:col min="8" max="8" width="13.130000114440918" hidden="0" customWidth="1"/>
    <x:col min="9" max="9" width="14.75" hidden="0" customWidth="1"/>
    <x:col min="10" max="10" width="12.25" hidden="0" customWidth="1"/>
    <x:col min="11" max="11" width="16.3799991607666" hidden="0" customWidth="1"/>
    <x:col min="12" max="12" width="18.25" hidden="0" customWidth="1"/>
    <x:col min="13" max="13" width="15.130000114440918" hidden="0" customWidth="1"/>
    <x:col min="14" max="14" width="16.5" hidden="0" customWidth="1"/>
    <x:col min="15" max="15" width="20.75" hidden="0" customWidth="1"/>
  </x:cols>
  <x:sheetData>
    <x:row r="1">
      <x:c r="A1" s="12" t="str">
        <x:v>REWORK LOG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>
      <x:c r="A2" s="13" t="str">
        <x:v>Maps to STG_REWORK → FACT_REWORK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 t="str">
        <x:v>ReworkedUnits = PalletsCount × ArticlesPerPallet (calculated in DWH).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8" t="str">
        <x:v>FactoryCode</x:v>
      </x:c>
      <x:c r="B4" s="8" t="str">
        <x:v>LineNumber</x:v>
      </x:c>
      <x:c r="C4" s="8" t="str">
        <x:v>EventDate</x:v>
      </x:c>
      <x:c r="D4" s="8" t="str">
        <x:v>ShiftCode</x:v>
      </x:c>
      <x:c r="E4" s="8" t="str">
        <x:v>OrderNumber</x:v>
      </x:c>
      <x:c r="F4" s="8" t="str">
        <x:v>ReworkStatusName</x:v>
      </x:c>
      <x:c r="G4" s="8" t="str">
        <x:v>PalletsCount</x:v>
      </x:c>
      <x:c r="H4" s="8" t="str">
        <x:v>ArticlesPerPallet</x:v>
      </x:c>
      <x:c r="I4" s="8" t="str">
        <x:v>ProductionEventID</x:v>
      </x:c>
      <x:c r="J4" s="8" t="str">
        <x:v>ReworkedUnits</x:v>
      </x:c>
      <x:c r="K4" s="8" t="str">
        <x:v>TotalHold_Reference</x:v>
      </x:c>
      <x:c r="L4" s="8" t="str">
        <x:v>EventReworkUnitsTotal</x:v>
      </x:c>
      <x:c r="M4" s="8" t="str">
        <x:v>HoldCapacityCheck</x:v>
      </x:c>
      <x:c r="N4" s="8" t="str">
        <x:v>ProductionLinkCheck</x:v>
      </x:c>
      <x:c r="O4" s="8" t="str">
        <x:v>NaturalKeyDuplicateCheck</x:v>
      </x:c>
    </x:row>
    <x:row r="5">
      <x:c r="A5" s="13" t="str">
        <x:v>KG01</x:v>
      </x:c>
      <x:c r="B5" s="13" t="n">
        <x:v>21</x:v>
      </x:c>
      <x:c r="C5" s="20" t="n">
        <x:v>45950</x:v>
      </x:c>
      <x:c r="D5" s="13" t="str">
        <x:v>PM</x:v>
      </x:c>
      <x:c r="E5" s="13" t="str">
        <x:v>ORD-2025-00019</x:v>
      </x:c>
      <x:c r="F5" s="16" t="str">
        <x:v>Move to Cullet</x:v>
      </x:c>
      <x:c r="G5" s="16" t="n">
        <x:v>1</x:v>
      </x:c>
      <x:c r="H5" s="16" t="n">
        <x:v>1000</x:v>
      </x:c>
      <x:c r="I5" s="18" t="str">
        <x:v>PE000002</x:v>
      </x:c>
      <x:c r="J5" s="18" t="n">
        <x:f>G5*H5</x:f>
        <x:v>1000</x:v>
      </x:c>
      <x:c r="K5" s="18" t="n">
        <x:v>2247</x:v>
      </x:c>
      <x:c r="L5" s="18" t="n">
        <x:f>SUMIF($I$5:$I$22,I5,$J$5:$J$22)</x:f>
        <x:v>1000</x:v>
      </x:c>
      <x:c r="M5" s="18" t="str">
        <x:f>IF(L5&lt;=K5,"OK","CHECK")</x:f>
        <x:v>OK</x:v>
      </x:c>
      <x:c r="N5" s="18" t="str">
        <x:f>IF(COUNTIF(ProductionReference!$A$5:$A$74,I5)=1,"OK","LINK ERROR")</x:f>
        <x:v>OK</x:v>
      </x:c>
      <x:c r="O5" s="18" t="str">
        <x:f>IF(COUNTIFS($A$5:$A$22,A5,$B$5:$B$22,B5,$C$5:$C$22,C5,$D$5:$D$22,D5,$E$5:$E$22,E5,$F$5:$F$22,F5)=1,"OK","DUPLICATE")</x:f>
        <x:v>OK</x:v>
      </x:c>
    </x:row>
    <x:row r="6">
      <x:c r="A6" s="13" t="str">
        <x:v>KG01</x:v>
      </x:c>
      <x:c r="B6" s="13" t="n">
        <x:v>21</x:v>
      </x:c>
      <x:c r="C6" s="20" t="n">
        <x:v>45952</x:v>
      </x:c>
      <x:c r="D6" s="13" t="str">
        <x:v>AM</x:v>
      </x:c>
      <x:c r="E6" s="13" t="str">
        <x:v>ORD-2025-00020</x:v>
      </x:c>
      <x:c r="F6" s="16" t="str">
        <x:v>Move to Cullet</x:v>
      </x:c>
      <x:c r="G6" s="16" t="n">
        <x:v>1</x:v>
      </x:c>
      <x:c r="H6" s="16" t="n">
        <x:v>800</x:v>
      </x:c>
      <x:c r="I6" s="18" t="str">
        <x:v>PE000005</x:v>
      </x:c>
      <x:c r="J6" s="18" t="n">
        <x:f>G6*H6</x:f>
        <x:v>800</x:v>
      </x:c>
      <x:c r="K6" s="18" t="n">
        <x:v>1286</x:v>
      </x:c>
      <x:c r="L6" s="18" t="n">
        <x:f>SUMIF($I$5:$I$22,I6,$J$5:$J$22)</x:f>
        <x:v>800</x:v>
      </x:c>
      <x:c r="M6" s="18" t="str">
        <x:f>IF(L6&lt;=K6,"OK","CHECK")</x:f>
        <x:v>OK</x:v>
      </x:c>
      <x:c r="N6" s="18" t="str">
        <x:f>IF(COUNTIF(ProductionReference!$A$5:$A$74,I6)=1,"OK","LINK ERROR")</x:f>
        <x:v>OK</x:v>
      </x:c>
      <x:c r="O6" s="18" t="str">
        <x:f>IF(COUNTIFS($A$5:$A$22,A6,$B$5:$B$22,B6,$C$5:$C$22,C6,$D$5:$D$22,D6,$E$5:$E$22,E6,$F$5:$F$22,F6)=1,"OK","DUPLICATE")</x:f>
        <x:v>OK</x:v>
      </x:c>
    </x:row>
    <x:row r="7">
      <x:c r="A7" s="13" t="str">
        <x:v>KG01</x:v>
      </x:c>
      <x:c r="B7" s="13" t="n">
        <x:v>21</x:v>
      </x:c>
      <x:c r="C7" s="20" t="n">
        <x:v>45952</x:v>
      </x:c>
      <x:c r="D7" s="13" t="str">
        <x:v>PM</x:v>
      </x:c>
      <x:c r="E7" s="13" t="str">
        <x:v>ORD-2025-00020</x:v>
      </x:c>
      <x:c r="F7" s="16" t="str">
        <x:v>Move to Cullet</x:v>
      </x:c>
      <x:c r="G7" s="16" t="n">
        <x:v>2</x:v>
      </x:c>
      <x:c r="H7" s="16" t="n">
        <x:v>800</x:v>
      </x:c>
      <x:c r="I7" s="18" t="str">
        <x:v>PE000006</x:v>
      </x:c>
      <x:c r="J7" s="18" t="n">
        <x:f>G7*H7</x:f>
        <x:v>1600</x:v>
      </x:c>
      <x:c r="K7" s="18" t="n">
        <x:v>1622</x:v>
      </x:c>
      <x:c r="L7" s="18" t="n">
        <x:f>SUMIF($I$5:$I$22,I7,$J$5:$J$22)</x:f>
        <x:v>1600</x:v>
      </x:c>
      <x:c r="M7" s="18" t="str">
        <x:f>IF(L7&lt;=K7,"OK","CHECK")</x:f>
        <x:v>OK</x:v>
      </x:c>
      <x:c r="N7" s="18" t="str">
        <x:f>IF(COUNTIF(ProductionReference!$A$5:$A$74,I7)=1,"OK","LINK ERROR")</x:f>
        <x:v>OK</x:v>
      </x:c>
      <x:c r="O7" s="18" t="str">
        <x:f>IF(COUNTIFS($A$5:$A$22,A7,$B$5:$B$22,B7,$C$5:$C$22,C7,$D$5:$D$22,D7,$E$5:$E$22,E7,$F$5:$F$22,F7)=1,"OK","DUPLICATE")</x:f>
        <x:v>OK</x:v>
      </x:c>
    </x:row>
    <x:row r="8">
      <x:c r="A8" s="13" t="str">
        <x:v>KG01</x:v>
      </x:c>
      <x:c r="B8" s="13" t="n">
        <x:v>21</x:v>
      </x:c>
      <x:c r="C8" s="20" t="n">
        <x:v>45953</x:v>
      </x:c>
      <x:c r="D8" s="13" t="str">
        <x:v>AM</x:v>
      </x:c>
      <x:c r="E8" s="13" t="str">
        <x:v>ORD-2025-00020</x:v>
      </x:c>
      <x:c r="F8" s="16" t="str">
        <x:v>Resorted</x:v>
      </x:c>
      <x:c r="G8" s="16" t="n">
        <x:v>1</x:v>
      </x:c>
      <x:c r="H8" s="16" t="n">
        <x:v>800</x:v>
      </x:c>
      <x:c r="I8" s="18" t="str">
        <x:v>PE000007</x:v>
      </x:c>
      <x:c r="J8" s="18" t="n">
        <x:f>G8*H8</x:f>
        <x:v>800</x:v>
      </x:c>
      <x:c r="K8" s="18" t="n">
        <x:v>1515</x:v>
      </x:c>
      <x:c r="L8" s="18" t="n">
        <x:f>SUMIF($I$5:$I$22,I8,$J$5:$J$22)</x:f>
        <x:v>800</x:v>
      </x:c>
      <x:c r="M8" s="18" t="str">
        <x:f>IF(L8&lt;=K8,"OK","CHECK")</x:f>
        <x:v>OK</x:v>
      </x:c>
      <x:c r="N8" s="18" t="str">
        <x:f>IF(COUNTIF(ProductionReference!$A$5:$A$74,I8)=1,"OK","LINK ERROR")</x:f>
        <x:v>OK</x:v>
      </x:c>
      <x:c r="O8" s="18" t="str">
        <x:f>IF(COUNTIFS($A$5:$A$22,A8,$B$5:$B$22,B8,$C$5:$C$22,C8,$D$5:$D$22,D8,$E$5:$E$22,E8,$F$5:$F$22,F8)=1,"OK","DUPLICATE")</x:f>
        <x:v>OK</x:v>
      </x:c>
    </x:row>
    <x:row r="9">
      <x:c r="A9" s="13" t="str">
        <x:v>KG01</x:v>
      </x:c>
      <x:c r="B9" s="13" t="n">
        <x:v>21</x:v>
      </x:c>
      <x:c r="C9" s="20" t="n">
        <x:v>45954</x:v>
      </x:c>
      <x:c r="D9" s="13" t="str">
        <x:v>AM</x:v>
      </x:c>
      <x:c r="E9" s="13" t="str">
        <x:v>ORD-2025-00020</x:v>
      </x:c>
      <x:c r="F9" s="16" t="str">
        <x:v>Resorted</x:v>
      </x:c>
      <x:c r="G9" s="16" t="n">
        <x:v>1</x:v>
      </x:c>
      <x:c r="H9" s="16" t="n">
        <x:v>800</x:v>
      </x:c>
      <x:c r="I9" s="18" t="str">
        <x:v>PE000009</x:v>
      </x:c>
      <x:c r="J9" s="18" t="n">
        <x:f>G9*H9</x:f>
        <x:v>800</x:v>
      </x:c>
      <x:c r="K9" s="18" t="n">
        <x:v>3173</x:v>
      </x:c>
      <x:c r="L9" s="18" t="n">
        <x:f>SUMIF($I$5:$I$22,I9,$J$5:$J$22)</x:f>
        <x:v>800</x:v>
      </x:c>
      <x:c r="M9" s="18" t="str">
        <x:f>IF(L9&lt;=K9,"OK","CHECK")</x:f>
        <x:v>OK</x:v>
      </x:c>
      <x:c r="N9" s="18" t="str">
        <x:f>IF(COUNTIF(ProductionReference!$A$5:$A$74,I9)=1,"OK","LINK ERROR")</x:f>
        <x:v>OK</x:v>
      </x:c>
      <x:c r="O9" s="18" t="str">
        <x:f>IF(COUNTIFS($A$5:$A$22,A9,$B$5:$B$22,B9,$C$5:$C$22,C9,$D$5:$D$22,D9,$E$5:$E$22,E9,$F$5:$F$22,F9)=1,"OK","DUPLICATE")</x:f>
        <x:v>OK</x:v>
      </x:c>
    </x:row>
    <x:row r="10">
      <x:c r="A10" s="13" t="str">
        <x:v>KG01</x:v>
      </x:c>
      <x:c r="B10" s="13" t="n">
        <x:v>21</x:v>
      </x:c>
      <x:c r="C10" s="20" t="n">
        <x:v>45955</x:v>
      </x:c>
      <x:c r="D10" s="13" t="str">
        <x:v>AM</x:v>
      </x:c>
      <x:c r="E10" s="13" t="str">
        <x:v>ORD-2025-00021</x:v>
      </x:c>
      <x:c r="F10" s="16" t="str">
        <x:v>Resorted</x:v>
      </x:c>
      <x:c r="G10" s="16" t="n">
        <x:v>2</x:v>
      </x:c>
      <x:c r="H10" s="16" t="n">
        <x:v>1000</x:v>
      </x:c>
      <x:c r="I10" s="18" t="str">
        <x:v>PE000011</x:v>
      </x:c>
      <x:c r="J10" s="18" t="n">
        <x:f>G10*H10</x:f>
        <x:v>2000</x:v>
      </x:c>
      <x:c r="K10" s="18" t="n">
        <x:v>2878</x:v>
      </x:c>
      <x:c r="L10" s="18" t="n">
        <x:f>SUMIF($I$5:$I$22,I10,$J$5:$J$22)</x:f>
        <x:v>2000</x:v>
      </x:c>
      <x:c r="M10" s="18" t="str">
        <x:f>IF(L10&lt;=K10,"OK","CHECK")</x:f>
        <x:v>OK</x:v>
      </x:c>
      <x:c r="N10" s="18" t="str">
        <x:f>IF(COUNTIF(ProductionReference!$A$5:$A$74,I10)=1,"OK","LINK ERROR")</x:f>
        <x:v>OK</x:v>
      </x:c>
      <x:c r="O10" s="18" t="str">
        <x:f>IF(COUNTIFS($A$5:$A$22,A10,$B$5:$B$22,B10,$C$5:$C$22,C10,$D$5:$D$22,D10,$E$5:$E$22,E10,$F$5:$F$22,F10)=1,"OK","DUPLICATE")</x:f>
        <x:v>OK</x:v>
      </x:c>
    </x:row>
    <x:row r="11">
      <x:c r="A11" s="13" t="str">
        <x:v>KG01</x:v>
      </x:c>
      <x:c r="B11" s="13" t="n">
        <x:v>22</x:v>
      </x:c>
      <x:c r="C11" s="20" t="n">
        <x:v>45951</x:v>
      </x:c>
      <x:c r="D11" s="13" t="str">
        <x:v>AM</x:v>
      </x:c>
      <x:c r="E11" s="13" t="str">
        <x:v>ORD-2025-00056</x:v>
      </x:c>
      <x:c r="F11" s="16" t="str">
        <x:v>Move to Cullet</x:v>
      </x:c>
      <x:c r="G11" s="16" t="n">
        <x:v>1</x:v>
      </x:c>
      <x:c r="H11" s="16" t="n">
        <x:v>800</x:v>
      </x:c>
      <x:c r="I11" s="18" t="str">
        <x:v>PE000017</x:v>
      </x:c>
      <x:c r="J11" s="18" t="n">
        <x:f>G11*H11</x:f>
        <x:v>800</x:v>
      </x:c>
      <x:c r="K11" s="18" t="n">
        <x:v>938</x:v>
      </x:c>
      <x:c r="L11" s="18" t="n">
        <x:f>SUMIF($I$5:$I$22,I11,$J$5:$J$22)</x:f>
        <x:v>800</x:v>
      </x:c>
      <x:c r="M11" s="18" t="str">
        <x:f>IF(L11&lt;=K11,"OK","CHECK")</x:f>
        <x:v>OK</x:v>
      </x:c>
      <x:c r="N11" s="18" t="str">
        <x:f>IF(COUNTIF(ProductionReference!$A$5:$A$74,I11)=1,"OK","LINK ERROR")</x:f>
        <x:v>OK</x:v>
      </x:c>
      <x:c r="O11" s="18" t="str">
        <x:f>IF(COUNTIFS($A$5:$A$22,A11,$B$5:$B$22,B11,$C$5:$C$22,C11,$D$5:$D$22,D11,$E$5:$E$22,E11,$F$5:$F$22,F11)=1,"OK","DUPLICATE")</x:f>
        <x:v>OK</x:v>
      </x:c>
    </x:row>
    <x:row r="12">
      <x:c r="A12" s="13" t="str">
        <x:v>KG01</x:v>
      </x:c>
      <x:c r="B12" s="13" t="n">
        <x:v>22</x:v>
      </x:c>
      <x:c r="C12" s="20" t="n">
        <x:v>45953</x:v>
      </x:c>
      <x:c r="D12" s="13" t="str">
        <x:v>AM</x:v>
      </x:c>
      <x:c r="E12" s="13" t="str">
        <x:v>ORD-2025-00057</x:v>
      </x:c>
      <x:c r="F12" s="16" t="str">
        <x:v>Move to Cullet</x:v>
      </x:c>
      <x:c r="G12" s="16" t="n">
        <x:v>2</x:v>
      </x:c>
      <x:c r="H12" s="16" t="n">
        <x:v>800</x:v>
      </x:c>
      <x:c r="I12" s="18" t="str">
        <x:v>PE000021</x:v>
      </x:c>
      <x:c r="J12" s="18" t="n">
        <x:f>G12*H12</x:f>
        <x:v>1600</x:v>
      </x:c>
      <x:c r="K12" s="18" t="n">
        <x:v>2097</x:v>
      </x:c>
      <x:c r="L12" s="18" t="n">
        <x:f>SUMIF($I$5:$I$22,I12,$J$5:$J$22)</x:f>
        <x:v>1600</x:v>
      </x:c>
      <x:c r="M12" s="18" t="str">
        <x:f>IF(L12&lt;=K12,"OK","CHECK")</x:f>
        <x:v>OK</x:v>
      </x:c>
      <x:c r="N12" s="18" t="str">
        <x:f>IF(COUNTIF(ProductionReference!$A$5:$A$74,I12)=1,"OK","LINK ERROR")</x:f>
        <x:v>OK</x:v>
      </x:c>
      <x:c r="O12" s="18" t="str">
        <x:f>IF(COUNTIFS($A$5:$A$22,A12,$B$5:$B$22,B12,$C$5:$C$22,C12,$D$5:$D$22,D12,$E$5:$E$22,E12,$F$5:$F$22,F12)=1,"OK","DUPLICATE")</x:f>
        <x:v>OK</x:v>
      </x:c>
    </x:row>
    <x:row r="13">
      <x:c r="A13" s="13" t="str">
        <x:v>KG01</x:v>
      </x:c>
      <x:c r="B13" s="13" t="n">
        <x:v>23</x:v>
      </x:c>
      <x:c r="C13" s="20" t="n">
        <x:v>45950</x:v>
      </x:c>
      <x:c r="D13" s="13" t="str">
        <x:v>AM</x:v>
      </x:c>
      <x:c r="E13" s="13" t="str">
        <x:v>ORD-2025-00092</x:v>
      </x:c>
      <x:c r="F13" s="16" t="str">
        <x:v>Resorted</x:v>
      </x:c>
      <x:c r="G13" s="16" t="n">
        <x:v>4</x:v>
      </x:c>
      <x:c r="H13" s="16" t="n">
        <x:v>1000</x:v>
      </x:c>
      <x:c r="I13" s="18" t="str">
        <x:v>PE000029</x:v>
      </x:c>
      <x:c r="J13" s="18" t="n">
        <x:f>G13*H13</x:f>
        <x:v>4000</x:v>
      </x:c>
      <x:c r="K13" s="18" t="n">
        <x:v>5704</x:v>
      </x:c>
      <x:c r="L13" s="18" t="n">
        <x:f>SUMIF($I$5:$I$22,I13,$J$5:$J$22)</x:f>
        <x:v>4000</x:v>
      </x:c>
      <x:c r="M13" s="18" t="str">
        <x:f>IF(L13&lt;=K13,"OK","CHECK")</x:f>
        <x:v>OK</x:v>
      </x:c>
      <x:c r="N13" s="18" t="str">
        <x:f>IF(COUNTIF(ProductionReference!$A$5:$A$74,I13)=1,"OK","LINK ERROR")</x:f>
        <x:v>OK</x:v>
      </x:c>
      <x:c r="O13" s="18" t="str">
        <x:f>IF(COUNTIFS($A$5:$A$22,A13,$B$5:$B$22,B13,$C$5:$C$22,C13,$D$5:$D$22,D13,$E$5:$E$22,E13,$F$5:$F$22,F13)=1,"OK","DUPLICATE")</x:f>
        <x:v>OK</x:v>
      </x:c>
    </x:row>
    <x:row r="14">
      <x:c r="A14" s="13" t="str">
        <x:v>KG01</x:v>
      </x:c>
      <x:c r="B14" s="13" t="n">
        <x:v>23</x:v>
      </x:c>
      <x:c r="C14" s="20" t="n">
        <x:v>45952</x:v>
      </x:c>
      <x:c r="D14" s="13" t="str">
        <x:v>PM</x:v>
      </x:c>
      <x:c r="E14" s="13" t="str">
        <x:v>ORD-2025-00093</x:v>
      </x:c>
      <x:c r="F14" s="16" t="str">
        <x:v>Resorted</x:v>
      </x:c>
      <x:c r="G14" s="16" t="n">
        <x:v>1</x:v>
      </x:c>
      <x:c r="H14" s="16" t="n">
        <x:v>800</x:v>
      </x:c>
      <x:c r="I14" s="18" t="str">
        <x:v>PE000034</x:v>
      </x:c>
      <x:c r="J14" s="18" t="n">
        <x:f>G14*H14</x:f>
        <x:v>800</x:v>
      </x:c>
      <x:c r="K14" s="18" t="n">
        <x:v>3335</x:v>
      </x:c>
      <x:c r="L14" s="18" t="n">
        <x:f>SUMIF($I$5:$I$22,I14,$J$5:$J$22)</x:f>
        <x:v>800</x:v>
      </x:c>
      <x:c r="M14" s="18" t="str">
        <x:f>IF(L14&lt;=K14,"OK","CHECK")</x:f>
        <x:v>OK</x:v>
      </x:c>
      <x:c r="N14" s="18" t="str">
        <x:f>IF(COUNTIF(ProductionReference!$A$5:$A$74,I14)=1,"OK","LINK ERROR")</x:f>
        <x:v>OK</x:v>
      </x:c>
      <x:c r="O14" s="18" t="str">
        <x:f>IF(COUNTIFS($A$5:$A$22,A14,$B$5:$B$22,B14,$C$5:$C$22,C14,$D$5:$D$22,D14,$E$5:$E$22,E14,$F$5:$F$22,F14)=1,"OK","DUPLICATE")</x:f>
        <x:v>OK</x:v>
      </x:c>
    </x:row>
    <x:row r="15">
      <x:c r="A15" s="13" t="str">
        <x:v>KG01</x:v>
      </x:c>
      <x:c r="B15" s="13" t="n">
        <x:v>23</x:v>
      </x:c>
      <x:c r="C15" s="20" t="n">
        <x:v>45954</x:v>
      </x:c>
      <x:c r="D15" s="13" t="str">
        <x:v>PM</x:v>
      </x:c>
      <x:c r="E15" s="13" t="str">
        <x:v>ORD-2025-00093</x:v>
      </x:c>
      <x:c r="F15" s="16" t="str">
        <x:v>Resorted</x:v>
      </x:c>
      <x:c r="G15" s="16" t="n">
        <x:v>1</x:v>
      </x:c>
      <x:c r="H15" s="16" t="n">
        <x:v>800</x:v>
      </x:c>
      <x:c r="I15" s="18" t="str">
        <x:v>PE000038</x:v>
      </x:c>
      <x:c r="J15" s="18" t="n">
        <x:f>G15*H15</x:f>
        <x:v>800</x:v>
      </x:c>
      <x:c r="K15" s="18" t="n">
        <x:v>1983</x:v>
      </x:c>
      <x:c r="L15" s="18" t="n">
        <x:f>SUMIF($I$5:$I$22,I15,$J$5:$J$22)</x:f>
        <x:v>800</x:v>
      </x:c>
      <x:c r="M15" s="18" t="str">
        <x:f>IF(L15&lt;=K15,"OK","CHECK")</x:f>
        <x:v>OK</x:v>
      </x:c>
      <x:c r="N15" s="18" t="str">
        <x:f>IF(COUNTIF(ProductionReference!$A$5:$A$74,I15)=1,"OK","LINK ERROR")</x:f>
        <x:v>OK</x:v>
      </x:c>
      <x:c r="O15" s="18" t="str">
        <x:f>IF(COUNTIFS($A$5:$A$22,A15,$B$5:$B$22,B15,$C$5:$C$22,C15,$D$5:$D$22,D15,$E$5:$E$22,E15,$F$5:$F$22,F15)=1,"OK","DUPLICATE")</x:f>
        <x:v>OK</x:v>
      </x:c>
    </x:row>
    <x:row r="16">
      <x:c r="A16" s="13" t="str">
        <x:v>KG01</x:v>
      </x:c>
      <x:c r="B16" s="13" t="n">
        <x:v>24</x:v>
      </x:c>
      <x:c r="C16" s="20" t="n">
        <x:v>45953</x:v>
      </x:c>
      <x:c r="D16" s="13" t="str">
        <x:v>AM</x:v>
      </x:c>
      <x:c r="E16" s="13" t="str">
        <x:v>ORD-2025-00125</x:v>
      </x:c>
      <x:c r="F16" s="16" t="str">
        <x:v>Resorted</x:v>
      </x:c>
      <x:c r="G16" s="16" t="n">
        <x:v>2</x:v>
      </x:c>
      <x:c r="H16" s="16" t="n">
        <x:v>1000</x:v>
      </x:c>
      <x:c r="I16" s="18" t="str">
        <x:v>PE000049</x:v>
      </x:c>
      <x:c r="J16" s="18" t="n">
        <x:f>G16*H16</x:f>
        <x:v>2000</x:v>
      </x:c>
      <x:c r="K16" s="18" t="n">
        <x:v>2710</x:v>
      </x:c>
      <x:c r="L16" s="18" t="n">
        <x:f>SUMIF($I$5:$I$22,I16,$J$5:$J$22)</x:f>
        <x:v>2000</x:v>
      </x:c>
      <x:c r="M16" s="18" t="str">
        <x:f>IF(L16&lt;=K16,"OK","CHECK")</x:f>
        <x:v>OK</x:v>
      </x:c>
      <x:c r="N16" s="18" t="str">
        <x:f>IF(COUNTIF(ProductionReference!$A$5:$A$74,I16)=1,"OK","LINK ERROR")</x:f>
        <x:v>OK</x:v>
      </x:c>
      <x:c r="O16" s="18" t="str">
        <x:f>IF(COUNTIFS($A$5:$A$22,A16,$B$5:$B$22,B16,$C$5:$C$22,C16,$D$5:$D$22,D16,$E$5:$E$22,E16,$F$5:$F$22,F16)=1,"OK","DUPLICATE")</x:f>
        <x:v>OK</x:v>
      </x:c>
    </x:row>
    <x:row r="17">
      <x:c r="A17" s="13" t="str">
        <x:v>KG01</x:v>
      </x:c>
      <x:c r="B17" s="13" t="n">
        <x:v>24</x:v>
      </x:c>
      <x:c r="C17" s="20" t="n">
        <x:v>45954</x:v>
      </x:c>
      <x:c r="D17" s="13" t="str">
        <x:v>PM</x:v>
      </x:c>
      <x:c r="E17" s="13" t="str">
        <x:v>ORD-2025-00125</x:v>
      </x:c>
      <x:c r="F17" s="16" t="str">
        <x:v>Resorted</x:v>
      </x:c>
      <x:c r="G17" s="16" t="n">
        <x:v>1</x:v>
      </x:c>
      <x:c r="H17" s="16" t="n">
        <x:v>1000</x:v>
      </x:c>
      <x:c r="I17" s="18" t="str">
        <x:v>PE000052</x:v>
      </x:c>
      <x:c r="J17" s="18" t="n">
        <x:f>G17*H17</x:f>
        <x:v>1000</x:v>
      </x:c>
      <x:c r="K17" s="18" t="n">
        <x:v>2205</x:v>
      </x:c>
      <x:c r="L17" s="18" t="n">
        <x:f>SUMIF($I$5:$I$22,I17,$J$5:$J$22)</x:f>
        <x:v>1000</x:v>
      </x:c>
      <x:c r="M17" s="18" t="str">
        <x:f>IF(L17&lt;=K17,"OK","CHECK")</x:f>
        <x:v>OK</x:v>
      </x:c>
      <x:c r="N17" s="18" t="str">
        <x:f>IF(COUNTIF(ProductionReference!$A$5:$A$74,I17)=1,"OK","LINK ERROR")</x:f>
        <x:v>OK</x:v>
      </x:c>
      <x:c r="O17" s="18" t="str">
        <x:f>IF(COUNTIFS($A$5:$A$22,A17,$B$5:$B$22,B17,$C$5:$C$22,C17,$D$5:$D$22,D17,$E$5:$E$22,E17,$F$5:$F$22,F17)=1,"OK","DUPLICATE")</x:f>
        <x:v>OK</x:v>
      </x:c>
    </x:row>
    <x:row r="18">
      <x:c r="A18" s="13" t="str">
        <x:v>KG01</x:v>
      </x:c>
      <x:c r="B18" s="13" t="n">
        <x:v>24</x:v>
      </x:c>
      <x:c r="C18" s="20" t="n">
        <x:v>45955</x:v>
      </x:c>
      <x:c r="D18" s="13" t="str">
        <x:v>AM</x:v>
      </x:c>
      <x:c r="E18" s="13" t="str">
        <x:v>ORD-2025-00126</x:v>
      </x:c>
      <x:c r="F18" s="16" t="str">
        <x:v>Resorted</x:v>
      </x:c>
      <x:c r="G18" s="16" t="n">
        <x:v>2</x:v>
      </x:c>
      <x:c r="H18" s="16" t="n">
        <x:v>800</x:v>
      </x:c>
      <x:c r="I18" s="18" t="str">
        <x:v>PE000053</x:v>
      </x:c>
      <x:c r="J18" s="18" t="n">
        <x:f>G18*H18</x:f>
        <x:v>1600</x:v>
      </x:c>
      <x:c r="K18" s="18" t="n">
        <x:v>2249</x:v>
      </x:c>
      <x:c r="L18" s="18" t="n">
        <x:f>SUMIF($I$5:$I$22,I18,$J$5:$J$22)</x:f>
        <x:v>1600</x:v>
      </x:c>
      <x:c r="M18" s="18" t="str">
        <x:f>IF(L18&lt;=K18,"OK","CHECK")</x:f>
        <x:v>OK</x:v>
      </x:c>
      <x:c r="N18" s="18" t="str">
        <x:f>IF(COUNTIF(ProductionReference!$A$5:$A$74,I18)=1,"OK","LINK ERROR")</x:f>
        <x:v>OK</x:v>
      </x:c>
      <x:c r="O18" s="18" t="str">
        <x:f>IF(COUNTIFS($A$5:$A$22,A18,$B$5:$B$22,B18,$C$5:$C$22,C18,$D$5:$D$22,D18,$E$5:$E$22,E18,$F$5:$F$22,F18)=1,"OK","DUPLICATE")</x:f>
        <x:v>OK</x:v>
      </x:c>
    </x:row>
    <x:row r="19">
      <x:c r="A19" s="13" t="str">
        <x:v>KG01</x:v>
      </x:c>
      <x:c r="B19" s="13" t="n">
        <x:v>25</x:v>
      </x:c>
      <x:c r="C19" s="20" t="n">
        <x:v>45950</x:v>
      </x:c>
      <x:c r="D19" s="13" t="str">
        <x:v>PM</x:v>
      </x:c>
      <x:c r="E19" s="13" t="str">
        <x:v>ORD-2025-00161</x:v>
      </x:c>
      <x:c r="F19" s="16" t="str">
        <x:v>Resorted</x:v>
      </x:c>
      <x:c r="G19" s="16" t="n">
        <x:v>1</x:v>
      </x:c>
      <x:c r="H19" s="16" t="n">
        <x:v>800</x:v>
      </x:c>
      <x:c r="I19" s="18" t="str">
        <x:v>PE000058</x:v>
      </x:c>
      <x:c r="J19" s="18" t="n">
        <x:f>G19*H19</x:f>
        <x:v>800</x:v>
      </x:c>
      <x:c r="K19" s="18" t="n">
        <x:v>1289</x:v>
      </x:c>
      <x:c r="L19" s="18" t="n">
        <x:f>SUMIF($I$5:$I$22,I19,$J$5:$J$22)</x:f>
        <x:v>800</x:v>
      </x:c>
      <x:c r="M19" s="18" t="str">
        <x:f>IF(L19&lt;=K19,"OK","CHECK")</x:f>
        <x:v>OK</x:v>
      </x:c>
      <x:c r="N19" s="18" t="str">
        <x:f>IF(COUNTIF(ProductionReference!$A$5:$A$74,I19)=1,"OK","LINK ERROR")</x:f>
        <x:v>OK</x:v>
      </x:c>
      <x:c r="O19" s="18" t="str">
        <x:f>IF(COUNTIFS($A$5:$A$22,A19,$B$5:$B$22,B19,$C$5:$C$22,C19,$D$5:$D$22,D19,$E$5:$E$22,E19,$F$5:$F$22,F19)=1,"OK","DUPLICATE")</x:f>
        <x:v>OK</x:v>
      </x:c>
    </x:row>
    <x:row r="20">
      <x:c r="A20" s="13" t="str">
        <x:v>KG01</x:v>
      </x:c>
      <x:c r="B20" s="13" t="n">
        <x:v>25</x:v>
      </x:c>
      <x:c r="C20" s="20" t="n">
        <x:v>45952</x:v>
      </x:c>
      <x:c r="D20" s="13" t="str">
        <x:v>AM</x:v>
      </x:c>
      <x:c r="E20" s="13" t="str">
        <x:v>ORD-2025-00161</x:v>
      </x:c>
      <x:c r="F20" s="16" t="str">
        <x:v>Resorted</x:v>
      </x:c>
      <x:c r="G20" s="16" t="n">
        <x:v>1</x:v>
      </x:c>
      <x:c r="H20" s="16" t="n">
        <x:v>800</x:v>
      </x:c>
      <x:c r="I20" s="18" t="str">
        <x:v>PE000061</x:v>
      </x:c>
      <x:c r="J20" s="18" t="n">
        <x:f>G20*H20</x:f>
        <x:v>800</x:v>
      </x:c>
      <x:c r="K20" s="18" t="n">
        <x:v>1024</x:v>
      </x:c>
      <x:c r="L20" s="18" t="n">
        <x:f>SUMIF($I$5:$I$22,I20,$J$5:$J$22)</x:f>
        <x:v>800</x:v>
      </x:c>
      <x:c r="M20" s="18" t="str">
        <x:f>IF(L20&lt;=K20,"OK","CHECK")</x:f>
        <x:v>OK</x:v>
      </x:c>
      <x:c r="N20" s="18" t="str">
        <x:f>IF(COUNTIF(ProductionReference!$A$5:$A$74,I20)=1,"OK","LINK ERROR")</x:f>
        <x:v>OK</x:v>
      </x:c>
      <x:c r="O20" s="18" t="str">
        <x:f>IF(COUNTIFS($A$5:$A$22,A20,$B$5:$B$22,B20,$C$5:$C$22,C20,$D$5:$D$22,D20,$E$5:$E$22,E20,$F$5:$F$22,F20)=1,"OK","DUPLICATE")</x:f>
        <x:v>OK</x:v>
      </x:c>
    </x:row>
    <x:row r="21">
      <x:c r="A21" s="13" t="str">
        <x:v>KG01</x:v>
      </x:c>
      <x:c r="B21" s="13" t="n">
        <x:v>25</x:v>
      </x:c>
      <x:c r="C21" s="20" t="n">
        <x:v>45952</x:v>
      </x:c>
      <x:c r="D21" s="13" t="str">
        <x:v>PM</x:v>
      </x:c>
      <x:c r="E21" s="13" t="str">
        <x:v>ORD-2025-00161</x:v>
      </x:c>
      <x:c r="F21" s="16" t="str">
        <x:v>Resorted</x:v>
      </x:c>
      <x:c r="G21" s="16" t="n">
        <x:v>1</x:v>
      </x:c>
      <x:c r="H21" s="16" t="n">
        <x:v>800</x:v>
      </x:c>
      <x:c r="I21" s="18" t="str">
        <x:v>PE000062</x:v>
      </x:c>
      <x:c r="J21" s="18" t="n">
        <x:f>G21*H21</x:f>
        <x:v>800</x:v>
      </x:c>
      <x:c r="K21" s="18" t="n">
        <x:v>1260</x:v>
      </x:c>
      <x:c r="L21" s="18" t="n">
        <x:f>SUMIF($I$5:$I$22,I21,$J$5:$J$22)</x:f>
        <x:v>800</x:v>
      </x:c>
      <x:c r="M21" s="18" t="str">
        <x:f>IF(L21&lt;=K21,"OK","CHECK")</x:f>
        <x:v>OK</x:v>
      </x:c>
      <x:c r="N21" s="18" t="str">
        <x:f>IF(COUNTIF(ProductionReference!$A$5:$A$74,I21)=1,"OK","LINK ERROR")</x:f>
        <x:v>OK</x:v>
      </x:c>
      <x:c r="O21" s="18" t="str">
        <x:f>IF(COUNTIFS($A$5:$A$22,A21,$B$5:$B$22,B21,$C$5:$C$22,C21,$D$5:$D$22,D21,$E$5:$E$22,E21,$F$5:$F$22,F21)=1,"OK","DUPLICATE")</x:f>
        <x:v>OK</x:v>
      </x:c>
    </x:row>
    <x:row r="22">
      <x:c r="A22" s="13" t="str">
        <x:v>KG01</x:v>
      </x:c>
      <x:c r="B22" s="13" t="n">
        <x:v>25</x:v>
      </x:c>
      <x:c r="C22" s="20" t="n">
        <x:v>45954</x:v>
      </x:c>
      <x:c r="D22" s="13" t="str">
        <x:v>AM</x:v>
      </x:c>
      <x:c r="E22" s="13" t="str">
        <x:v>ORD-2025-00162</x:v>
      </x:c>
      <x:c r="F22" s="16" t="str">
        <x:v>Resorted</x:v>
      </x:c>
      <x:c r="G22" s="16" t="n">
        <x:v>1</x:v>
      </x:c>
      <x:c r="H22" s="16" t="n">
        <x:v>1000</x:v>
      </x:c>
      <x:c r="I22" s="18" t="str">
        <x:v>PE000065</x:v>
      </x:c>
      <x:c r="J22" s="18" t="n">
        <x:f>G22*H22</x:f>
        <x:v>1000</x:v>
      </x:c>
      <x:c r="K22" s="18" t="n">
        <x:v>1886</x:v>
      </x:c>
      <x:c r="L22" s="18" t="n">
        <x:f>SUMIF($I$5:$I$22,I22,$J$5:$J$22)</x:f>
        <x:v>1000</x:v>
      </x:c>
      <x:c r="M22" s="18" t="str">
        <x:f>IF(L22&lt;=K22,"OK","CHECK")</x:f>
        <x:v>OK</x:v>
      </x:c>
      <x:c r="N22" s="18" t="str">
        <x:f>IF(COUNTIF(ProductionReference!$A$5:$A$74,I22)=1,"OK","LINK ERROR")</x:f>
        <x:v>OK</x:v>
      </x:c>
      <x:c r="O22" s="18" t="str">
        <x:f>IF(COUNTIFS($A$5:$A$22,A22,$B$5:$B$22,B22,$C$5:$C$22,C22,$D$5:$D$22,D22,$E$5:$E$22,E22,$F$5:$F$22,F22)=1,"OK","DUPLICATE")</x:f>
        <x:v>OK</x:v>
      </x:c>
    </x:row>
  </x:sheetData>
  <x:conditionalFormatting sqref="M5:M22">
    <x:cfRule type="expression" dxfId="5" priority="1">
      <x:formula>M5&lt;&gt;"OK"</x:formula>
    </x:cfRule>
  </x:conditionalFormatting>
  <x:conditionalFormatting sqref="N5:N22">
    <x:cfRule type="expression" dxfId="6" priority="2">
      <x:formula>N5&lt;&gt;"OK"</x:formula>
    </x:cfRule>
  </x:conditionalFormatting>
  <x:conditionalFormatting sqref="O5:O22">
    <x:cfRule type="expression" dxfId="7" priority="3">
      <x:formula>O5&lt;&gt;"OK"</x:formula>
    </x:cfRule>
  </x:conditionalFormatting>
  <x:dataValidations count="5">
    <x:dataValidation type="list" sqref="B5:B500">
      <x:formula1>"21,22,23,24,25"</x:formula1>
    </x:dataValidation>
    <x:dataValidation type="list" sqref="D5:D500">
      <x:formula1>"AM,PM"</x:formula1>
    </x:dataValidation>
    <x:dataValidation type="list" sqref="E5:E500">
      <x:formula1>"ORD-2025-00019,ORD-2025-00020,ORD-2025-00021,ORD-2025-00055,ORD-2025-00056,ORD-2025-00057,ORD-2025-00058,ORD-2025-00092,ORD-2025-00093,ORD-2025-00094,ORD-2025-00124,ORD-2025-00125,ORD-2025-00126,ORD-2025-00161,ORD-2025-00162"</x:formula1>
    </x:dataValidation>
    <x:dataValidation type="list" sqref="F5:F500">
      <x:formula1>"Resorted,Move to Cullet"</x:formula1>
    </x:dataValidation>
    <x:dataValidation sqref="G5:H500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.880001068115234" hidden="0" customWidth="1"/>
    <x:col min="2" max="2" width="10" hidden="0" customWidth="1"/>
    <x:col min="3" max="3" width="8.380000114440918" hidden="0" customWidth="1"/>
    <x:col min="4" max="4" width="7.880000114440918" hidden="0" customWidth="1"/>
    <x:col min="5" max="5" width="9.880000114440918" hidden="0" customWidth="1"/>
    <x:col min="6" max="6" width="13.380000114440918" hidden="0" customWidth="1"/>
    <x:col min="7" max="7" width="7.880000114440918" hidden="0" customWidth="1"/>
  </x:cols>
  <x:sheetData>
    <x:row r="1">
      <x:c r="A1" s="12" t="str">
        <x:v>PRODUCTION REFERENCE FOR QUALITY WORKBOOK QA</x:v>
      </x:c>
      <x:c r="B1" s="12"/>
      <x:c r="C1" s="12"/>
      <x:c r="D1" s="12"/>
      <x:c r="E1" s="12"/>
      <x:c r="F1" s="12"/>
      <x:c r="G1" s="12"/>
    </x:row>
    <x:row r="2">
      <x:c r="A2" s="13" t="str">
        <x:v>Local reference only; FACT_PRODUCTION remains the source of truth.</x:v>
      </x:c>
      <x:c r="B2" s="13"/>
      <x:c r="C2" s="13"/>
      <x:c r="D2" s="13"/>
      <x:c r="E2" s="13"/>
      <x:c r="F2" s="13"/>
      <x:c r="G2" s="13"/>
    </x:row>
    <x:row r="3">
      <x:c r="A3" s="13"/>
      <x:c r="B3" s="13"/>
      <x:c r="C3" s="13"/>
      <x:c r="D3" s="13"/>
      <x:c r="E3" s="13"/>
      <x:c r="F3" s="13"/>
      <x:c r="G3" s="13"/>
    </x:row>
    <x:row r="4">
      <x:c r="A4" s="8" t="str">
        <x:v>ProductionEventID</x:v>
      </x:c>
      <x:c r="B4" s="8" t="str">
        <x:v>FactoryCode</x:v>
      </x:c>
      <x:c r="C4" s="8" t="str">
        <x:v>EventDate</x:v>
      </x:c>
      <x:c r="D4" s="8" t="str">
        <x:v>ShiftCode</x:v>
      </x:c>
      <x:c r="E4" s="8" t="str">
        <x:v>LineNumber</x:v>
      </x:c>
      <x:c r="F4" s="8" t="str">
        <x:v>OrderNumber</x:v>
      </x:c>
      <x:c r="G4" s="8" t="str">
        <x:v>TotalHold</x:v>
      </x:c>
    </x:row>
    <x:row r="5">
      <x:c r="A5" s="13" t="str">
        <x:v>PE000001</x:v>
      </x:c>
      <x:c r="B5" s="13" t="str">
        <x:v>KG01</x:v>
      </x:c>
      <x:c r="C5" s="20" t="n">
        <x:v>45950</x:v>
      </x:c>
      <x:c r="D5" s="13" t="str">
        <x:v>AM</x:v>
      </x:c>
      <x:c r="E5" s="13" t="n">
        <x:v>21</x:v>
      </x:c>
      <x:c r="F5" s="13" t="str">
        <x:v>ORD-2025-00019</x:v>
      </x:c>
      <x:c r="G5" s="13" t="n">
        <x:v>2140</x:v>
      </x:c>
    </x:row>
    <x:row r="6">
      <x:c r="A6" s="13" t="str">
        <x:v>PE000002</x:v>
      </x:c>
      <x:c r="B6" s="13" t="str">
        <x:v>KG01</x:v>
      </x:c>
      <x:c r="C6" s="20" t="n">
        <x:v>45950</x:v>
      </x:c>
      <x:c r="D6" s="13" t="str">
        <x:v>PM</x:v>
      </x:c>
      <x:c r="E6" s="13" t="n">
        <x:v>21</x:v>
      </x:c>
      <x:c r="F6" s="13" t="str">
        <x:v>ORD-2025-00019</x:v>
      </x:c>
      <x:c r="G6" s="13" t="n">
        <x:v>2247</x:v>
      </x:c>
    </x:row>
    <x:row r="7">
      <x:c r="A7" s="13" t="str">
        <x:v>PE000003</x:v>
      </x:c>
      <x:c r="B7" s="13" t="str">
        <x:v>KG01</x:v>
      </x:c>
      <x:c r="C7" s="20" t="n">
        <x:v>45951</x:v>
      </x:c>
      <x:c r="D7" s="13" t="str">
        <x:v>AM</x:v>
      </x:c>
      <x:c r="E7" s="13" t="n">
        <x:v>21</x:v>
      </x:c>
      <x:c r="F7" s="13" t="str">
        <x:v>ORD-2025-00020</x:v>
      </x:c>
      <x:c r="G7" s="13" t="n">
        <x:v>1528</x:v>
      </x:c>
    </x:row>
    <x:row r="8">
      <x:c r="A8" s="13" t="str">
        <x:v>PE000004</x:v>
      </x:c>
      <x:c r="B8" s="13" t="str">
        <x:v>KG01</x:v>
      </x:c>
      <x:c r="C8" s="20" t="n">
        <x:v>45951</x:v>
      </x:c>
      <x:c r="D8" s="13" t="str">
        <x:v>PM</x:v>
      </x:c>
      <x:c r="E8" s="13" t="n">
        <x:v>21</x:v>
      </x:c>
      <x:c r="F8" s="13" t="str">
        <x:v>ORD-2025-00020</x:v>
      </x:c>
      <x:c r="G8" s="13" t="n">
        <x:v>560</x:v>
      </x:c>
    </x:row>
    <x:row r="9">
      <x:c r="A9" s="13" t="str">
        <x:v>PE000005</x:v>
      </x:c>
      <x:c r="B9" s="13" t="str">
        <x:v>KG01</x:v>
      </x:c>
      <x:c r="C9" s="20" t="n">
        <x:v>45952</x:v>
      </x:c>
      <x:c r="D9" s="13" t="str">
        <x:v>AM</x:v>
      </x:c>
      <x:c r="E9" s="13" t="n">
        <x:v>21</x:v>
      </x:c>
      <x:c r="F9" s="13" t="str">
        <x:v>ORD-2025-00020</x:v>
      </x:c>
      <x:c r="G9" s="13" t="n">
        <x:v>1286</x:v>
      </x:c>
    </x:row>
    <x:row r="10">
      <x:c r="A10" s="13" t="str">
        <x:v>PE000006</x:v>
      </x:c>
      <x:c r="B10" s="13" t="str">
        <x:v>KG01</x:v>
      </x:c>
      <x:c r="C10" s="20" t="n">
        <x:v>45952</x:v>
      </x:c>
      <x:c r="D10" s="13" t="str">
        <x:v>PM</x:v>
      </x:c>
      <x:c r="E10" s="13" t="n">
        <x:v>21</x:v>
      </x:c>
      <x:c r="F10" s="13" t="str">
        <x:v>ORD-2025-00020</x:v>
      </x:c>
      <x:c r="G10" s="13" t="n">
        <x:v>1622</x:v>
      </x:c>
    </x:row>
    <x:row r="11">
      <x:c r="A11" s="13" t="str">
        <x:v>PE000007</x:v>
      </x:c>
      <x:c r="B11" s="13" t="str">
        <x:v>KG01</x:v>
      </x:c>
      <x:c r="C11" s="20" t="n">
        <x:v>45953</x:v>
      </x:c>
      <x:c r="D11" s="13" t="str">
        <x:v>AM</x:v>
      </x:c>
      <x:c r="E11" s="13" t="n">
        <x:v>21</x:v>
      </x:c>
      <x:c r="F11" s="13" t="str">
        <x:v>ORD-2025-00020</x:v>
      </x:c>
      <x:c r="G11" s="13" t="n">
        <x:v>1515</x:v>
      </x:c>
    </x:row>
    <x:row r="12">
      <x:c r="A12" s="13" t="str">
        <x:v>PE000008</x:v>
      </x:c>
      <x:c r="B12" s="13" t="str">
        <x:v>KG01</x:v>
      </x:c>
      <x:c r="C12" s="20" t="n">
        <x:v>45953</x:v>
      </x:c>
      <x:c r="D12" s="13" t="str">
        <x:v>PM</x:v>
      </x:c>
      <x:c r="E12" s="13" t="n">
        <x:v>21</x:v>
      </x:c>
      <x:c r="F12" s="13" t="str">
        <x:v>ORD-2025-00020</x:v>
      </x:c>
      <x:c r="G12" s="13" t="n">
        <x:v>957</x:v>
      </x:c>
    </x:row>
    <x:row r="13">
      <x:c r="A13" s="13" t="str">
        <x:v>PE000009</x:v>
      </x:c>
      <x:c r="B13" s="13" t="str">
        <x:v>KG01</x:v>
      </x:c>
      <x:c r="C13" s="20" t="n">
        <x:v>45954</x:v>
      </x:c>
      <x:c r="D13" s="13" t="str">
        <x:v>AM</x:v>
      </x:c>
      <x:c r="E13" s="13" t="n">
        <x:v>21</x:v>
      </x:c>
      <x:c r="F13" s="13" t="str">
        <x:v>ORD-2025-00020</x:v>
      </x:c>
      <x:c r="G13" s="13" t="n">
        <x:v>3173</x:v>
      </x:c>
    </x:row>
    <x:row r="14">
      <x:c r="A14" s="13" t="str">
        <x:v>PE000010</x:v>
      </x:c>
      <x:c r="B14" s="13" t="str">
        <x:v>KG01</x:v>
      </x:c>
      <x:c r="C14" s="20" t="n">
        <x:v>45954</x:v>
      </x:c>
      <x:c r="D14" s="13" t="str">
        <x:v>PM</x:v>
      </x:c>
      <x:c r="E14" s="13" t="n">
        <x:v>21</x:v>
      </x:c>
      <x:c r="F14" s="13" t="str">
        <x:v>ORD-2025-00020</x:v>
      </x:c>
      <x:c r="G14" s="13" t="n">
        <x:v>675</x:v>
      </x:c>
    </x:row>
    <x:row r="15">
      <x:c r="A15" s="13" t="str">
        <x:v>PE000011</x:v>
      </x:c>
      <x:c r="B15" s="13" t="str">
        <x:v>KG01</x:v>
      </x:c>
      <x:c r="C15" s="20" t="n">
        <x:v>45955</x:v>
      </x:c>
      <x:c r="D15" s="13" t="str">
        <x:v>AM</x:v>
      </x:c>
      <x:c r="E15" s="13" t="n">
        <x:v>21</x:v>
      </x:c>
      <x:c r="F15" s="13" t="str">
        <x:v>ORD-2025-00021</x:v>
      </x:c>
      <x:c r="G15" s="13" t="n">
        <x:v>2878</x:v>
      </x:c>
    </x:row>
    <x:row r="16">
      <x:c r="A16" s="13" t="str">
        <x:v>PE000012</x:v>
      </x:c>
      <x:c r="B16" s="13" t="str">
        <x:v>KG01</x:v>
      </x:c>
      <x:c r="C16" s="20" t="n">
        <x:v>45955</x:v>
      </x:c>
      <x:c r="D16" s="13" t="str">
        <x:v>PM</x:v>
      </x:c>
      <x:c r="E16" s="13" t="n">
        <x:v>21</x:v>
      </x:c>
      <x:c r="F16" s="13" t="str">
        <x:v>ORD-2025-00021</x:v>
      </x:c>
      <x:c r="G16" s="13" t="n">
        <x:v>2961</x:v>
      </x:c>
    </x:row>
    <x:row r="17">
      <x:c r="A17" s="13" t="str">
        <x:v>PE000013</x:v>
      </x:c>
      <x:c r="B17" s="13" t="str">
        <x:v>KG01</x:v>
      </x:c>
      <x:c r="C17" s="20" t="n">
        <x:v>45956</x:v>
      </x:c>
      <x:c r="D17" s="13" t="str">
        <x:v>AM</x:v>
      </x:c>
      <x:c r="E17" s="13" t="n">
        <x:v>21</x:v>
      </x:c>
      <x:c r="F17" s="13" t="str">
        <x:v>ORD-2025-00021</x:v>
      </x:c>
      <x:c r="G17" s="13" t="n">
        <x:v>1888</x:v>
      </x:c>
    </x:row>
    <x:row r="18">
      <x:c r="A18" s="13" t="str">
        <x:v>PE000014</x:v>
      </x:c>
      <x:c r="B18" s="13" t="str">
        <x:v>KG01</x:v>
      </x:c>
      <x:c r="C18" s="20" t="n">
        <x:v>45956</x:v>
      </x:c>
      <x:c r="D18" s="13" t="str">
        <x:v>PM</x:v>
      </x:c>
      <x:c r="E18" s="13" t="n">
        <x:v>21</x:v>
      </x:c>
      <x:c r="F18" s="13" t="str">
        <x:v>ORD-2025-00021</x:v>
      </x:c>
      <x:c r="G18" s="13" t="n">
        <x:v>553</x:v>
      </x:c>
    </x:row>
    <x:row r="19">
      <x:c r="A19" s="13" t="str">
        <x:v>PE000015</x:v>
      </x:c>
      <x:c r="B19" s="13" t="str">
        <x:v>KG01</x:v>
      </x:c>
      <x:c r="C19" s="20" t="n">
        <x:v>45950</x:v>
      </x:c>
      <x:c r="D19" s="13" t="str">
        <x:v>AM</x:v>
      </x:c>
      <x:c r="E19" s="13" t="n">
        <x:v>22</x:v>
      </x:c>
      <x:c r="F19" s="13" t="str">
        <x:v>ORD-2025-00056</x:v>
      </x:c>
      <x:c r="G19" s="13" t="n">
        <x:v>538</x:v>
      </x:c>
    </x:row>
    <x:row r="20">
      <x:c r="A20" s="13" t="str">
        <x:v>PE000016</x:v>
      </x:c>
      <x:c r="B20" s="13" t="str">
        <x:v>KG01</x:v>
      </x:c>
      <x:c r="C20" s="20" t="n">
        <x:v>45950</x:v>
      </x:c>
      <x:c r="D20" s="13" t="str">
        <x:v>PM</x:v>
      </x:c>
      <x:c r="E20" s="13" t="n">
        <x:v>22</x:v>
      </x:c>
      <x:c r="F20" s="13" t="str">
        <x:v>ORD-2025-00056</x:v>
      </x:c>
      <x:c r="G20" s="13" t="n">
        <x:v>1982</x:v>
      </x:c>
    </x:row>
    <x:row r="21">
      <x:c r="A21" s="13" t="str">
        <x:v>PE000017</x:v>
      </x:c>
      <x:c r="B21" s="13" t="str">
        <x:v>KG01</x:v>
      </x:c>
      <x:c r="C21" s="20" t="n">
        <x:v>45951</x:v>
      </x:c>
      <x:c r="D21" s="13" t="str">
        <x:v>AM</x:v>
      </x:c>
      <x:c r="E21" s="13" t="n">
        <x:v>22</x:v>
      </x:c>
      <x:c r="F21" s="13" t="str">
        <x:v>ORD-2025-00056</x:v>
      </x:c>
      <x:c r="G21" s="13" t="n">
        <x:v>938</x:v>
      </x:c>
    </x:row>
    <x:row r="22">
      <x:c r="A22" s="13" t="str">
        <x:v>PE000018</x:v>
      </x:c>
      <x:c r="B22" s="13" t="str">
        <x:v>KG01</x:v>
      </x:c>
      <x:c r="C22" s="20" t="n">
        <x:v>45951</x:v>
      </x:c>
      <x:c r="D22" s="13" t="str">
        <x:v>PM</x:v>
      </x:c>
      <x:c r="E22" s="13" t="n">
        <x:v>22</x:v>
      </x:c>
      <x:c r="F22" s="13" t="str">
        <x:v>ORD-2025-00056</x:v>
      </x:c>
      <x:c r="G22" s="13" t="n">
        <x:v>744</x:v>
      </x:c>
    </x:row>
    <x:row r="23">
      <x:c r="A23" s="13" t="str">
        <x:v>PE000019</x:v>
      </x:c>
      <x:c r="B23" s="13" t="str">
        <x:v>KG01</x:v>
      </x:c>
      <x:c r="C23" s="20" t="n">
        <x:v>45952</x:v>
      </x:c>
      <x:c r="D23" s="13" t="str">
        <x:v>AM</x:v>
      </x:c>
      <x:c r="E23" s="13" t="n">
        <x:v>22</x:v>
      </x:c>
      <x:c r="F23" s="13" t="str">
        <x:v>ORD-2025-00057</x:v>
      </x:c>
      <x:c r="G23" s="13" t="n">
        <x:v>957</x:v>
      </x:c>
    </x:row>
    <x:row r="24">
      <x:c r="A24" s="13" t="str">
        <x:v>PE000020</x:v>
      </x:c>
      <x:c r="B24" s="13" t="str">
        <x:v>KG01</x:v>
      </x:c>
      <x:c r="C24" s="20" t="n">
        <x:v>45952</x:v>
      </x:c>
      <x:c r="D24" s="13" t="str">
        <x:v>PM</x:v>
      </x:c>
      <x:c r="E24" s="13" t="n">
        <x:v>22</x:v>
      </x:c>
      <x:c r="F24" s="13" t="str">
        <x:v>ORD-2025-00057</x:v>
      </x:c>
      <x:c r="G24" s="13" t="n">
        <x:v>949</x:v>
      </x:c>
    </x:row>
    <x:row r="25">
      <x:c r="A25" s="13" t="str">
        <x:v>PE000021</x:v>
      </x:c>
      <x:c r="B25" s="13" t="str">
        <x:v>KG01</x:v>
      </x:c>
      <x:c r="C25" s="20" t="n">
        <x:v>45953</x:v>
      </x:c>
      <x:c r="D25" s="13" t="str">
        <x:v>AM</x:v>
      </x:c>
      <x:c r="E25" s="13" t="n">
        <x:v>22</x:v>
      </x:c>
      <x:c r="F25" s="13" t="str">
        <x:v>ORD-2025-00057</x:v>
      </x:c>
      <x:c r="G25" s="13" t="n">
        <x:v>2097</x:v>
      </x:c>
    </x:row>
    <x:row r="26">
      <x:c r="A26" s="13" t="str">
        <x:v>PE000022</x:v>
      </x:c>
      <x:c r="B26" s="13" t="str">
        <x:v>KG01</x:v>
      </x:c>
      <x:c r="C26" s="20" t="n">
        <x:v>45953</x:v>
      </x:c>
      <x:c r="D26" s="13" t="str">
        <x:v>PM</x:v>
      </x:c>
      <x:c r="E26" s="13" t="n">
        <x:v>22</x:v>
      </x:c>
      <x:c r="F26" s="13" t="str">
        <x:v>ORD-2025-00057</x:v>
      </x:c>
      <x:c r="G26" s="13" t="n">
        <x:v>992</x:v>
      </x:c>
    </x:row>
    <x:row r="27">
      <x:c r="A27" s="13" t="str">
        <x:v>PE000023</x:v>
      </x:c>
      <x:c r="B27" s="13" t="str">
        <x:v>KG01</x:v>
      </x:c>
      <x:c r="C27" s="20" t="n">
        <x:v>45954</x:v>
      </x:c>
      <x:c r="D27" s="13" t="str">
        <x:v>AM</x:v>
      </x:c>
      <x:c r="E27" s="13" t="n">
        <x:v>22</x:v>
      </x:c>
      <x:c r="F27" s="13" t="str">
        <x:v>ORD-2025-00057</x:v>
      </x:c>
      <x:c r="G27" s="13" t="n">
        <x:v>1515</x:v>
      </x:c>
    </x:row>
    <x:row r="28">
      <x:c r="A28" s="13" t="str">
        <x:v>PE000024</x:v>
      </x:c>
      <x:c r="B28" s="13" t="str">
        <x:v>KG01</x:v>
      </x:c>
      <x:c r="C28" s="20" t="n">
        <x:v>45954</x:v>
      </x:c>
      <x:c r="D28" s="13" t="str">
        <x:v>PM</x:v>
      </x:c>
      <x:c r="E28" s="13" t="n">
        <x:v>22</x:v>
      </x:c>
      <x:c r="F28" s="13" t="str">
        <x:v>ORD-2025-00057</x:v>
      </x:c>
      <x:c r="G28" s="13" t="n">
        <x:v>530</x:v>
      </x:c>
    </x:row>
    <x:row r="29">
      <x:c r="A29" s="13" t="str">
        <x:v>PE000025</x:v>
      </x:c>
      <x:c r="B29" s="13" t="str">
        <x:v>KG01</x:v>
      </x:c>
      <x:c r="C29" s="20" t="n">
        <x:v>45955</x:v>
      </x:c>
      <x:c r="D29" s="13" t="str">
        <x:v>AM</x:v>
      </x:c>
      <x:c r="E29" s="13" t="n">
        <x:v>22</x:v>
      </x:c>
      <x:c r="F29" s="13" t="str">
        <x:v>ORD-2025-00057</x:v>
      </x:c>
      <x:c r="G29" s="13" t="n">
        <x:v>1209</x:v>
      </x:c>
    </x:row>
    <x:row r="30">
      <x:c r="A30" s="13" t="str">
        <x:v>PE000026</x:v>
      </x:c>
      <x:c r="B30" s="13" t="str">
        <x:v>KG01</x:v>
      </x:c>
      <x:c r="C30" s="20" t="n">
        <x:v>45955</x:v>
      </x:c>
      <x:c r="D30" s="13" t="str">
        <x:v>PM</x:v>
      </x:c>
      <x:c r="E30" s="13" t="n">
        <x:v>22</x:v>
      </x:c>
      <x:c r="F30" s="13" t="str">
        <x:v>ORD-2025-00057</x:v>
      </x:c>
      <x:c r="G30" s="13" t="n">
        <x:v>1436</x:v>
      </x:c>
    </x:row>
    <x:row r="31">
      <x:c r="A31" s="13" t="str">
        <x:v>PE000027</x:v>
      </x:c>
      <x:c r="B31" s="13" t="str">
        <x:v>KG01</x:v>
      </x:c>
      <x:c r="C31" s="20" t="n">
        <x:v>45956</x:v>
      </x:c>
      <x:c r="D31" s="13" t="str">
        <x:v>AM</x:v>
      </x:c>
      <x:c r="E31" s="13" t="n">
        <x:v>22</x:v>
      </x:c>
      <x:c r="F31" s="13" t="str">
        <x:v>ORD-2025-00058</x:v>
      </x:c>
      <x:c r="G31" s="13" t="n">
        <x:v>3901</x:v>
      </x:c>
    </x:row>
    <x:row r="32">
      <x:c r="A32" s="13" t="str">
        <x:v>PE000028</x:v>
      </x:c>
      <x:c r="B32" s="13" t="str">
        <x:v>KG01</x:v>
      </x:c>
      <x:c r="C32" s="20" t="n">
        <x:v>45956</x:v>
      </x:c>
      <x:c r="D32" s="13" t="str">
        <x:v>PM</x:v>
      </x:c>
      <x:c r="E32" s="13" t="n">
        <x:v>22</x:v>
      </x:c>
      <x:c r="F32" s="13" t="str">
        <x:v>ORD-2025-00058</x:v>
      </x:c>
      <x:c r="G32" s="13" t="n">
        <x:v>7094</x:v>
      </x:c>
    </x:row>
    <x:row r="33">
      <x:c r="A33" s="13" t="str">
        <x:v>PE000029</x:v>
      </x:c>
      <x:c r="B33" s="13" t="str">
        <x:v>KG01</x:v>
      </x:c>
      <x:c r="C33" s="20" t="n">
        <x:v>45950</x:v>
      </x:c>
      <x:c r="D33" s="13" t="str">
        <x:v>AM</x:v>
      </x:c>
      <x:c r="E33" s="13" t="n">
        <x:v>23</x:v>
      </x:c>
      <x:c r="F33" s="13" t="str">
        <x:v>ORD-2025-00092</x:v>
      </x:c>
      <x:c r="G33" s="13" t="n">
        <x:v>5704</x:v>
      </x:c>
    </x:row>
    <x:row r="34">
      <x:c r="A34" s="13" t="str">
        <x:v>PE000030</x:v>
      </x:c>
      <x:c r="B34" s="13" t="str">
        <x:v>KG01</x:v>
      </x:c>
      <x:c r="C34" s="20" t="n">
        <x:v>45950</x:v>
      </x:c>
      <x:c r="D34" s="13" t="str">
        <x:v>PM</x:v>
      </x:c>
      <x:c r="E34" s="13" t="n">
        <x:v>23</x:v>
      </x:c>
      <x:c r="F34" s="13" t="str">
        <x:v>ORD-2025-00092</x:v>
      </x:c>
      <x:c r="G34" s="13" t="n">
        <x:v>2249</x:v>
      </x:c>
    </x:row>
    <x:row r="35">
      <x:c r="A35" s="13" t="str">
        <x:v>PE000031</x:v>
      </x:c>
      <x:c r="B35" s="13" t="str">
        <x:v>KG01</x:v>
      </x:c>
      <x:c r="C35" s="20" t="n">
        <x:v>45951</x:v>
      </x:c>
      <x:c r="D35" s="13" t="str">
        <x:v>AM</x:v>
      </x:c>
      <x:c r="E35" s="13" t="n">
        <x:v>23</x:v>
      </x:c>
      <x:c r="F35" s="13" t="str">
        <x:v>ORD-2025-00092</x:v>
      </x:c>
      <x:c r="G35" s="13" t="n">
        <x:v>4074</x:v>
      </x:c>
    </x:row>
    <x:row r="36">
      <x:c r="A36" s="13" t="str">
        <x:v>PE000032</x:v>
      </x:c>
      <x:c r="B36" s="13" t="str">
        <x:v>KG01</x:v>
      </x:c>
      <x:c r="C36" s="20" t="n">
        <x:v>45951</x:v>
      </x:c>
      <x:c r="D36" s="13" t="str">
        <x:v>PM</x:v>
      </x:c>
      <x:c r="E36" s="13" t="n">
        <x:v>23</x:v>
      </x:c>
      <x:c r="F36" s="13" t="str">
        <x:v>ORD-2025-00092</x:v>
      </x:c>
      <x:c r="G36" s="13" t="n">
        <x:v>5731</x:v>
      </x:c>
    </x:row>
    <x:row r="37">
      <x:c r="A37" s="13" t="str">
        <x:v>PE000033</x:v>
      </x:c>
      <x:c r="B37" s="13" t="str">
        <x:v>KG01</x:v>
      </x:c>
      <x:c r="C37" s="20" t="n">
        <x:v>45952</x:v>
      </x:c>
      <x:c r="D37" s="13" t="str">
        <x:v>AM</x:v>
      </x:c>
      <x:c r="E37" s="13" t="n">
        <x:v>23</x:v>
      </x:c>
      <x:c r="F37" s="13" t="str">
        <x:v>ORD-2025-00093</x:v>
      </x:c>
      <x:c r="G37" s="13" t="n">
        <x:v>822</x:v>
      </x:c>
    </x:row>
    <x:row r="38">
      <x:c r="A38" s="13" t="str">
        <x:v>PE000034</x:v>
      </x:c>
      <x:c r="B38" s="13" t="str">
        <x:v>KG01</x:v>
      </x:c>
      <x:c r="C38" s="20" t="n">
        <x:v>45952</x:v>
      </x:c>
      <x:c r="D38" s="13" t="str">
        <x:v>PM</x:v>
      </x:c>
      <x:c r="E38" s="13" t="n">
        <x:v>23</x:v>
      </x:c>
      <x:c r="F38" s="13" t="str">
        <x:v>ORD-2025-00093</x:v>
      </x:c>
      <x:c r="G38" s="13" t="n">
        <x:v>3335</x:v>
      </x:c>
    </x:row>
    <x:row r="39">
      <x:c r="A39" s="13" t="str">
        <x:v>PE000035</x:v>
      </x:c>
      <x:c r="B39" s="13" t="str">
        <x:v>KG01</x:v>
      </x:c>
      <x:c r="C39" s="20" t="n">
        <x:v>45953</x:v>
      </x:c>
      <x:c r="D39" s="13" t="str">
        <x:v>AM</x:v>
      </x:c>
      <x:c r="E39" s="13" t="n">
        <x:v>23</x:v>
      </x:c>
      <x:c r="F39" s="13" t="str">
        <x:v>ORD-2025-00093</x:v>
      </x:c>
      <x:c r="G39" s="13" t="n">
        <x:v>650</x:v>
      </x:c>
    </x:row>
    <x:row r="40">
      <x:c r="A40" s="13" t="str">
        <x:v>PE000036</x:v>
      </x:c>
      <x:c r="B40" s="13" t="str">
        <x:v>KG01</x:v>
      </x:c>
      <x:c r="C40" s="20" t="n">
        <x:v>45953</x:v>
      </x:c>
      <x:c r="D40" s="13" t="str">
        <x:v>PM</x:v>
      </x:c>
      <x:c r="E40" s="13" t="n">
        <x:v>23</x:v>
      </x:c>
      <x:c r="F40" s="13" t="str">
        <x:v>ORD-2025-00093</x:v>
      </x:c>
      <x:c r="G40" s="13" t="n">
        <x:v>2900</x:v>
      </x:c>
    </x:row>
    <x:row r="41">
      <x:c r="A41" s="13" t="str">
        <x:v>PE000037</x:v>
      </x:c>
      <x:c r="B41" s="13" t="str">
        <x:v>KG01</x:v>
      </x:c>
      <x:c r="C41" s="20" t="n">
        <x:v>45954</x:v>
      </x:c>
      <x:c r="D41" s="13" t="str">
        <x:v>AM</x:v>
      </x:c>
      <x:c r="E41" s="13" t="n">
        <x:v>23</x:v>
      </x:c>
      <x:c r="F41" s="13" t="str">
        <x:v>ORD-2025-00093</x:v>
      </x:c>
      <x:c r="G41" s="13" t="n">
        <x:v>1705</x:v>
      </x:c>
    </x:row>
    <x:row r="42">
      <x:c r="A42" s="13" t="str">
        <x:v>PE000038</x:v>
      </x:c>
      <x:c r="B42" s="13" t="str">
        <x:v>KG01</x:v>
      </x:c>
      <x:c r="C42" s="20" t="n">
        <x:v>45954</x:v>
      </x:c>
      <x:c r="D42" s="13" t="str">
        <x:v>PM</x:v>
      </x:c>
      <x:c r="E42" s="13" t="n">
        <x:v>23</x:v>
      </x:c>
      <x:c r="F42" s="13" t="str">
        <x:v>ORD-2025-00093</x:v>
      </x:c>
      <x:c r="G42" s="13" t="n">
        <x:v>1983</x:v>
      </x:c>
    </x:row>
    <x:row r="43">
      <x:c r="A43" s="13" t="str">
        <x:v>PE000039</x:v>
      </x:c>
      <x:c r="B43" s="13" t="str">
        <x:v>KG01</x:v>
      </x:c>
      <x:c r="C43" s="20" t="n">
        <x:v>45955</x:v>
      </x:c>
      <x:c r="D43" s="13" t="str">
        <x:v>AM</x:v>
      </x:c>
      <x:c r="E43" s="13" t="n">
        <x:v>23</x:v>
      </x:c>
      <x:c r="F43" s="13" t="str">
        <x:v>ORD-2025-00093</x:v>
      </x:c>
      <x:c r="G43" s="13" t="n">
        <x:v>1191</x:v>
      </x:c>
    </x:row>
    <x:row r="44">
      <x:c r="A44" s="13" t="str">
        <x:v>PE000040</x:v>
      </x:c>
      <x:c r="B44" s="13" t="str">
        <x:v>KG01</x:v>
      </x:c>
      <x:c r="C44" s="20" t="n">
        <x:v>45955</x:v>
      </x:c>
      <x:c r="D44" s="13" t="str">
        <x:v>PM</x:v>
      </x:c>
      <x:c r="E44" s="13" t="n">
        <x:v>23</x:v>
      </x:c>
      <x:c r="F44" s="13" t="str">
        <x:v>ORD-2025-00093</x:v>
      </x:c>
      <x:c r="G44" s="13" t="n">
        <x:v>298</x:v>
      </x:c>
    </x:row>
    <x:row r="45">
      <x:c r="A45" s="13" t="str">
        <x:v>PE000041</x:v>
      </x:c>
      <x:c r="B45" s="13" t="str">
        <x:v>KG01</x:v>
      </x:c>
      <x:c r="C45" s="20" t="n">
        <x:v>45956</x:v>
      </x:c>
      <x:c r="D45" s="13" t="str">
        <x:v>AM</x:v>
      </x:c>
      <x:c r="E45" s="13" t="n">
        <x:v>23</x:v>
      </x:c>
      <x:c r="F45" s="13" t="str">
        <x:v>ORD-2025-00094</x:v>
      </x:c>
      <x:c r="G45" s="13" t="n">
        <x:v>465</x:v>
      </x:c>
    </x:row>
    <x:row r="46">
      <x:c r="A46" s="13" t="str">
        <x:v>PE000042</x:v>
      </x:c>
      <x:c r="B46" s="13" t="str">
        <x:v>KG01</x:v>
      </x:c>
      <x:c r="C46" s="20" t="n">
        <x:v>45956</x:v>
      </x:c>
      <x:c r="D46" s="13" t="str">
        <x:v>PM</x:v>
      </x:c>
      <x:c r="E46" s="13" t="n">
        <x:v>23</x:v>
      </x:c>
      <x:c r="F46" s="13" t="str">
        <x:v>ORD-2025-00094</x:v>
      </x:c>
      <x:c r="G46" s="13" t="n">
        <x:v>366</x:v>
      </x:c>
    </x:row>
    <x:row r="47">
      <x:c r="A47" s="13" t="str">
        <x:v>PE000043</x:v>
      </x:c>
      <x:c r="B47" s="13" t="str">
        <x:v>KG01</x:v>
      </x:c>
      <x:c r="C47" s="20" t="n">
        <x:v>45950</x:v>
      </x:c>
      <x:c r="D47" s="13" t="str">
        <x:v>AM</x:v>
      </x:c>
      <x:c r="E47" s="13" t="n">
        <x:v>24</x:v>
      </x:c>
      <x:c r="F47" s="13" t="str">
        <x:v>ORD-2025-00124</x:v>
      </x:c>
      <x:c r="G47" s="13" t="n">
        <x:v>5885</x:v>
      </x:c>
    </x:row>
    <x:row r="48">
      <x:c r="A48" s="13" t="str">
        <x:v>PE000044</x:v>
      </x:c>
      <x:c r="B48" s="13" t="str">
        <x:v>KG01</x:v>
      </x:c>
      <x:c r="C48" s="20" t="n">
        <x:v>45950</x:v>
      </x:c>
      <x:c r="D48" s="13" t="str">
        <x:v>PM</x:v>
      </x:c>
      <x:c r="E48" s="13" t="n">
        <x:v>24</x:v>
      </x:c>
      <x:c r="F48" s="13" t="str">
        <x:v>ORD-2025-00124</x:v>
      </x:c>
      <x:c r="G48" s="13" t="n">
        <x:v>7274</x:v>
      </x:c>
    </x:row>
    <x:row r="49">
      <x:c r="A49" s="13" t="str">
        <x:v>PE000045</x:v>
      </x:c>
      <x:c r="B49" s="13" t="str">
        <x:v>KG01</x:v>
      </x:c>
      <x:c r="C49" s="20" t="n">
        <x:v>45951</x:v>
      </x:c>
      <x:c r="D49" s="13" t="str">
        <x:v>AM</x:v>
      </x:c>
      <x:c r="E49" s="13" t="n">
        <x:v>24</x:v>
      </x:c>
      <x:c r="F49" s="13" t="str">
        <x:v>ORD-2025-00125</x:v>
      </x:c>
      <x:c r="G49" s="13" t="n">
        <x:v>1269</x:v>
      </x:c>
    </x:row>
    <x:row r="50">
      <x:c r="A50" s="13" t="str">
        <x:v>PE000046</x:v>
      </x:c>
      <x:c r="B50" s="13" t="str">
        <x:v>KG01</x:v>
      </x:c>
      <x:c r="C50" s="20" t="n">
        <x:v>45951</x:v>
      </x:c>
      <x:c r="D50" s="13" t="str">
        <x:v>PM</x:v>
      </x:c>
      <x:c r="E50" s="13" t="n">
        <x:v>24</x:v>
      </x:c>
      <x:c r="F50" s="13" t="str">
        <x:v>ORD-2025-00125</x:v>
      </x:c>
      <x:c r="G50" s="13" t="n">
        <x:v>607</x:v>
      </x:c>
    </x:row>
    <x:row r="51">
      <x:c r="A51" s="13" t="str">
        <x:v>PE000047</x:v>
      </x:c>
      <x:c r="B51" s="13" t="str">
        <x:v>KG01</x:v>
      </x:c>
      <x:c r="C51" s="20" t="n">
        <x:v>45952</x:v>
      </x:c>
      <x:c r="D51" s="13" t="str">
        <x:v>AM</x:v>
      </x:c>
      <x:c r="E51" s="13" t="n">
        <x:v>24</x:v>
      </x:c>
      <x:c r="F51" s="13" t="str">
        <x:v>ORD-2025-00125</x:v>
      </x:c>
      <x:c r="G51" s="13" t="n">
        <x:v>2804</x:v>
      </x:c>
    </x:row>
    <x:row r="52">
      <x:c r="A52" s="13" t="str">
        <x:v>PE000048</x:v>
      </x:c>
      <x:c r="B52" s="13" t="str">
        <x:v>KG01</x:v>
      </x:c>
      <x:c r="C52" s="20" t="n">
        <x:v>45952</x:v>
      </x:c>
      <x:c r="D52" s="13" t="str">
        <x:v>PM</x:v>
      </x:c>
      <x:c r="E52" s="13" t="n">
        <x:v>24</x:v>
      </x:c>
      <x:c r="F52" s="13" t="str">
        <x:v>ORD-2025-00125</x:v>
      </x:c>
      <x:c r="G52" s="13" t="n">
        <x:v>4444</x:v>
      </x:c>
    </x:row>
    <x:row r="53">
      <x:c r="A53" s="13" t="str">
        <x:v>PE000049</x:v>
      </x:c>
      <x:c r="B53" s="13" t="str">
        <x:v>KG01</x:v>
      </x:c>
      <x:c r="C53" s="20" t="n">
        <x:v>45953</x:v>
      </x:c>
      <x:c r="D53" s="13" t="str">
        <x:v>AM</x:v>
      </x:c>
      <x:c r="E53" s="13" t="n">
        <x:v>24</x:v>
      </x:c>
      <x:c r="F53" s="13" t="str">
        <x:v>ORD-2025-00125</x:v>
      </x:c>
      <x:c r="G53" s="13" t="n">
        <x:v>2710</x:v>
      </x:c>
    </x:row>
    <x:row r="54">
      <x:c r="A54" s="13" t="str">
        <x:v>PE000050</x:v>
      </x:c>
      <x:c r="B54" s="13" t="str">
        <x:v>KG01</x:v>
      </x:c>
      <x:c r="C54" s="20" t="n">
        <x:v>45953</x:v>
      </x:c>
      <x:c r="D54" s="13" t="str">
        <x:v>PM</x:v>
      </x:c>
      <x:c r="E54" s="13" t="n">
        <x:v>24</x:v>
      </x:c>
      <x:c r="F54" s="13" t="str">
        <x:v>ORD-2025-00125</x:v>
      </x:c>
      <x:c r="G54" s="13" t="n">
        <x:v>3481</x:v>
      </x:c>
    </x:row>
    <x:row r="55">
      <x:c r="A55" s="13" t="str">
        <x:v>PE000051</x:v>
      </x:c>
      <x:c r="B55" s="13" t="str">
        <x:v>KG01</x:v>
      </x:c>
      <x:c r="C55" s="20" t="n">
        <x:v>45954</x:v>
      </x:c>
      <x:c r="D55" s="13" t="str">
        <x:v>AM</x:v>
      </x:c>
      <x:c r="E55" s="13" t="n">
        <x:v>24</x:v>
      </x:c>
      <x:c r="F55" s="13" t="str">
        <x:v>ORD-2025-00125</x:v>
      </x:c>
      <x:c r="G55" s="13" t="n">
        <x:v>1963</x:v>
      </x:c>
    </x:row>
    <x:row r="56">
      <x:c r="A56" s="13" t="str">
        <x:v>PE000052</x:v>
      </x:c>
      <x:c r="B56" s="13" t="str">
        <x:v>KG01</x:v>
      </x:c>
      <x:c r="C56" s="20" t="n">
        <x:v>45954</x:v>
      </x:c>
      <x:c r="D56" s="13" t="str">
        <x:v>PM</x:v>
      </x:c>
      <x:c r="E56" s="13" t="n">
        <x:v>24</x:v>
      </x:c>
      <x:c r="F56" s="13" t="str">
        <x:v>ORD-2025-00125</x:v>
      </x:c>
      <x:c r="G56" s="13" t="n">
        <x:v>2205</x:v>
      </x:c>
    </x:row>
    <x:row r="57">
      <x:c r="A57" s="13" t="str">
        <x:v>PE000053</x:v>
      </x:c>
      <x:c r="B57" s="13" t="str">
        <x:v>KG01</x:v>
      </x:c>
      <x:c r="C57" s="20" t="n">
        <x:v>45955</x:v>
      </x:c>
      <x:c r="D57" s="13" t="str">
        <x:v>AM</x:v>
      </x:c>
      <x:c r="E57" s="13" t="n">
        <x:v>24</x:v>
      </x:c>
      <x:c r="F57" s="13" t="str">
        <x:v>ORD-2025-00126</x:v>
      </x:c>
      <x:c r="G57" s="13" t="n">
        <x:v>2249</x:v>
      </x:c>
    </x:row>
    <x:row r="58">
      <x:c r="A58" s="13" t="str">
        <x:v>PE000054</x:v>
      </x:c>
      <x:c r="B58" s="13" t="str">
        <x:v>KG01</x:v>
      </x:c>
      <x:c r="C58" s="20" t="n">
        <x:v>45955</x:v>
      </x:c>
      <x:c r="D58" s="13" t="str">
        <x:v>PM</x:v>
      </x:c>
      <x:c r="E58" s="13" t="n">
        <x:v>24</x:v>
      </x:c>
      <x:c r="F58" s="13" t="str">
        <x:v>ORD-2025-00126</x:v>
      </x:c>
      <x:c r="G58" s="13" t="n">
        <x:v>2176</x:v>
      </x:c>
    </x:row>
    <x:row r="59">
      <x:c r="A59" s="13" t="str">
        <x:v>PE000055</x:v>
      </x:c>
      <x:c r="B59" s="13" t="str">
        <x:v>KG01</x:v>
      </x:c>
      <x:c r="C59" s="20" t="n">
        <x:v>45956</x:v>
      </x:c>
      <x:c r="D59" s="13" t="str">
        <x:v>AM</x:v>
      </x:c>
      <x:c r="E59" s="13" t="n">
        <x:v>24</x:v>
      </x:c>
      <x:c r="F59" s="13" t="str">
        <x:v>ORD-2025-00126</x:v>
      </x:c>
      <x:c r="G59" s="13" t="n">
        <x:v>1268</x:v>
      </x:c>
    </x:row>
    <x:row r="60">
      <x:c r="A60" s="13" t="str">
        <x:v>PE000056</x:v>
      </x:c>
      <x:c r="B60" s="13" t="str">
        <x:v>KG01</x:v>
      </x:c>
      <x:c r="C60" s="20" t="n">
        <x:v>45956</x:v>
      </x:c>
      <x:c r="D60" s="13" t="str">
        <x:v>PM</x:v>
      </x:c>
      <x:c r="E60" s="13" t="n">
        <x:v>24</x:v>
      </x:c>
      <x:c r="F60" s="13" t="str">
        <x:v>ORD-2025-00126</x:v>
      </x:c>
      <x:c r="G60" s="13" t="n">
        <x:v>393</x:v>
      </x:c>
    </x:row>
    <x:row r="61">
      <x:c r="A61" s="13" t="str">
        <x:v>PE000057</x:v>
      </x:c>
      <x:c r="B61" s="13" t="str">
        <x:v>KG01</x:v>
      </x:c>
      <x:c r="C61" s="20" t="n">
        <x:v>45950</x:v>
      </x:c>
      <x:c r="D61" s="13" t="str">
        <x:v>AM</x:v>
      </x:c>
      <x:c r="E61" s="13" t="n">
        <x:v>25</x:v>
      </x:c>
      <x:c r="F61" s="13" t="str">
        <x:v>ORD-2025-00161</x:v>
      </x:c>
      <x:c r="G61" s="13" t="n">
        <x:v>612</x:v>
      </x:c>
    </x:row>
    <x:row r="62">
      <x:c r="A62" s="13" t="str">
        <x:v>PE000058</x:v>
      </x:c>
      <x:c r="B62" s="13" t="str">
        <x:v>KG01</x:v>
      </x:c>
      <x:c r="C62" s="20" t="n">
        <x:v>45950</x:v>
      </x:c>
      <x:c r="D62" s="13" t="str">
        <x:v>PM</x:v>
      </x:c>
      <x:c r="E62" s="13" t="n">
        <x:v>25</x:v>
      </x:c>
      <x:c r="F62" s="13" t="str">
        <x:v>ORD-2025-00161</x:v>
      </x:c>
      <x:c r="G62" s="13" t="n">
        <x:v>1289</x:v>
      </x:c>
    </x:row>
    <x:row r="63">
      <x:c r="A63" s="13" t="str">
        <x:v>PE000059</x:v>
      </x:c>
      <x:c r="B63" s="13" t="str">
        <x:v>KG01</x:v>
      </x:c>
      <x:c r="C63" s="20" t="n">
        <x:v>45951</x:v>
      </x:c>
      <x:c r="D63" s="13" t="str">
        <x:v>AM</x:v>
      </x:c>
      <x:c r="E63" s="13" t="n">
        <x:v>25</x:v>
      </x:c>
      <x:c r="F63" s="13" t="str">
        <x:v>ORD-2025-00161</x:v>
      </x:c>
      <x:c r="G63" s="13" t="n">
        <x:v>1358</x:v>
      </x:c>
    </x:row>
    <x:row r="64">
      <x:c r="A64" s="13" t="str">
        <x:v>PE000060</x:v>
      </x:c>
      <x:c r="B64" s="13" t="str">
        <x:v>KG01</x:v>
      </x:c>
      <x:c r="C64" s="20" t="n">
        <x:v>45951</x:v>
      </x:c>
      <x:c r="D64" s="13" t="str">
        <x:v>PM</x:v>
      </x:c>
      <x:c r="E64" s="13" t="n">
        <x:v>25</x:v>
      </x:c>
      <x:c r="F64" s="13" t="str">
        <x:v>ORD-2025-00161</x:v>
      </x:c>
      <x:c r="G64" s="13" t="n">
        <x:v>204</x:v>
      </x:c>
    </x:row>
    <x:row r="65">
      <x:c r="A65" s="13" t="str">
        <x:v>PE000061</x:v>
      </x:c>
      <x:c r="B65" s="13" t="str">
        <x:v>KG01</x:v>
      </x:c>
      <x:c r="C65" s="20" t="n">
        <x:v>45952</x:v>
      </x:c>
      <x:c r="D65" s="13" t="str">
        <x:v>AM</x:v>
      </x:c>
      <x:c r="E65" s="13" t="n">
        <x:v>25</x:v>
      </x:c>
      <x:c r="F65" s="13" t="str">
        <x:v>ORD-2025-00161</x:v>
      </x:c>
      <x:c r="G65" s="13" t="n">
        <x:v>1024</x:v>
      </x:c>
    </x:row>
    <x:row r="66">
      <x:c r="A66" s="13" t="str">
        <x:v>PE000062</x:v>
      </x:c>
      <x:c r="B66" s="13" t="str">
        <x:v>KG01</x:v>
      </x:c>
      <x:c r="C66" s="20" t="n">
        <x:v>45952</x:v>
      </x:c>
      <x:c r="D66" s="13" t="str">
        <x:v>PM</x:v>
      </x:c>
      <x:c r="E66" s="13" t="n">
        <x:v>25</x:v>
      </x:c>
      <x:c r="F66" s="13" t="str">
        <x:v>ORD-2025-00161</x:v>
      </x:c>
      <x:c r="G66" s="13" t="n">
        <x:v>1260</x:v>
      </x:c>
    </x:row>
    <x:row r="67">
      <x:c r="A67" s="13" t="str">
        <x:v>PE000063</x:v>
      </x:c>
      <x:c r="B67" s="13" t="str">
        <x:v>KG01</x:v>
      </x:c>
      <x:c r="C67" s="20" t="n">
        <x:v>45953</x:v>
      </x:c>
      <x:c r="D67" s="13" t="str">
        <x:v>AM</x:v>
      </x:c>
      <x:c r="E67" s="13" t="n">
        <x:v>25</x:v>
      </x:c>
      <x:c r="F67" s="13" t="str">
        <x:v>ORD-2025-00162</x:v>
      </x:c>
      <x:c r="G67" s="13" t="n">
        <x:v>711</x:v>
      </x:c>
    </x:row>
    <x:row r="68">
      <x:c r="A68" s="13" t="str">
        <x:v>PE000064</x:v>
      </x:c>
      <x:c r="B68" s="13" t="str">
        <x:v>KG01</x:v>
      </x:c>
      <x:c r="C68" s="20" t="n">
        <x:v>45953</x:v>
      </x:c>
      <x:c r="D68" s="13" t="str">
        <x:v>PM</x:v>
      </x:c>
      <x:c r="E68" s="13" t="n">
        <x:v>25</x:v>
      </x:c>
      <x:c r="F68" s="13" t="str">
        <x:v>ORD-2025-00162</x:v>
      </x:c>
      <x:c r="G68" s="13" t="n">
        <x:v>3631</x:v>
      </x:c>
    </x:row>
    <x:row r="69">
      <x:c r="A69" s="13" t="str">
        <x:v>PE000065</x:v>
      </x:c>
      <x:c r="B69" s="13" t="str">
        <x:v>KG01</x:v>
      </x:c>
      <x:c r="C69" s="20" t="n">
        <x:v>45954</x:v>
      </x:c>
      <x:c r="D69" s="13" t="str">
        <x:v>AM</x:v>
      </x:c>
      <x:c r="E69" s="13" t="n">
        <x:v>25</x:v>
      </x:c>
      <x:c r="F69" s="13" t="str">
        <x:v>ORD-2025-00162</x:v>
      </x:c>
      <x:c r="G69" s="13" t="n">
        <x:v>1886</x:v>
      </x:c>
    </x:row>
    <x:row r="70">
      <x:c r="A70" s="13" t="str">
        <x:v>PE000066</x:v>
      </x:c>
      <x:c r="B70" s="13" t="str">
        <x:v>KG01</x:v>
      </x:c>
      <x:c r="C70" s="20" t="n">
        <x:v>45954</x:v>
      </x:c>
      <x:c r="D70" s="13" t="str">
        <x:v>PM</x:v>
      </x:c>
      <x:c r="E70" s="13" t="n">
        <x:v>25</x:v>
      </x:c>
      <x:c r="F70" s="13" t="str">
        <x:v>ORD-2025-00162</x:v>
      </x:c>
      <x:c r="G70" s="13" t="n">
        <x:v>813</x:v>
      </x:c>
    </x:row>
    <x:row r="71">
      <x:c r="A71" s="13" t="str">
        <x:v>PE000067</x:v>
      </x:c>
      <x:c r="B71" s="13" t="str">
        <x:v>KG01</x:v>
      </x:c>
      <x:c r="C71" s="20" t="n">
        <x:v>45955</x:v>
      </x:c>
      <x:c r="D71" s="13" t="str">
        <x:v>AM</x:v>
      </x:c>
      <x:c r="E71" s="13" t="n">
        <x:v>25</x:v>
      </x:c>
      <x:c r="F71" s="13" t="str">
        <x:v>ORD-2025-00162</x:v>
      </x:c>
      <x:c r="G71" s="13" t="n">
        <x:v>679</x:v>
      </x:c>
    </x:row>
    <x:row r="72">
      <x:c r="A72" s="13" t="str">
        <x:v>PE000068</x:v>
      </x:c>
      <x:c r="B72" s="13" t="str">
        <x:v>KG01</x:v>
      </x:c>
      <x:c r="C72" s="20" t="n">
        <x:v>45955</x:v>
      </x:c>
      <x:c r="D72" s="13" t="str">
        <x:v>PM</x:v>
      </x:c>
      <x:c r="E72" s="13" t="n">
        <x:v>25</x:v>
      </x:c>
      <x:c r="F72" s="13" t="str">
        <x:v>ORD-2025-00162</x:v>
      </x:c>
      <x:c r="G72" s="13" t="n">
        <x:v>922</x:v>
      </x:c>
    </x:row>
    <x:row r="73">
      <x:c r="A73" s="13" t="str">
        <x:v>PE000069</x:v>
      </x:c>
      <x:c r="B73" s="13" t="str">
        <x:v>KG01</x:v>
      </x:c>
      <x:c r="C73" s="20" t="n">
        <x:v>45956</x:v>
      </x:c>
      <x:c r="D73" s="13" t="str">
        <x:v>AM</x:v>
      </x:c>
      <x:c r="E73" s="13" t="n">
        <x:v>25</x:v>
      </x:c>
      <x:c r="F73" s="13" t="str">
        <x:v>ORD-2025-00162</x:v>
      </x:c>
      <x:c r="G73" s="13" t="n">
        <x:v>1031</x:v>
      </x:c>
    </x:row>
    <x:row r="74">
      <x:c r="A74" s="13" t="str">
        <x:v>PE000070</x:v>
      </x:c>
      <x:c r="B74" s="13" t="str">
        <x:v>KG01</x:v>
      </x:c>
      <x:c r="C74" s="20" t="n">
        <x:v>45956</x:v>
      </x:c>
      <x:c r="D74" s="13" t="str">
        <x:v>PM</x:v>
      </x:c>
      <x:c r="E74" s="13" t="n">
        <x:v>25</x:v>
      </x:c>
      <x:c r="F74" s="13" t="str">
        <x:v>ORD-2025-00162</x:v>
      </x:c>
      <x:c r="G74" s="13" t="n">
        <x:v>1546</x:v>
      </x:c>
    </x:row>
  </x:sheetData>
  <x:pageMargins left="0.7" right="0.7" top="0.75" bottom="0.75" header="0.3" footer="0.3"/>
  <x:tableParts count="1">
    <x:tablePart xmlns:r="http://schemas.openxmlformats.org/officeDocument/2006/relationships" r:id="R3fced9ea2a6b44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7.880000114440918" hidden="0" customWidth="1"/>
    <x:col min="3" max="3" width="13.380000114440918" hidden="0" customWidth="1"/>
    <x:col min="4" max="4" width="10" hidden="0" customWidth="1"/>
    <x:col min="5" max="5" width="11.5" hidden="0" customWidth="1"/>
    <x:col min="6" max="6" width="14.75" hidden="0" customWidth="1"/>
  </x:cols>
  <x:sheetData>
    <x:row r="1">
      <x:c r="A1" s="7" t="str">
        <x:v>LineNumber</x:v>
      </x:c>
      <x:c r="B1" s="7" t="str">
        <x:v>ShiftCode</x:v>
      </x:c>
      <x:c r="C1" s="7" t="str">
        <x:v>OrderNumber</x:v>
      </x:c>
      <x:c r="D1" s="7" t="str">
        <x:v>DefectName</x:v>
      </x:c>
      <x:c r="E1" s="7" t="str">
        <x:v>ReworkStatus</x:v>
      </x:c>
      <x:c r="F1" s="7" t="str">
        <x:v>ProductionEventID</x:v>
      </x:c>
    </x:row>
    <x:row r="2">
      <x:c r="A2" t="n">
        <x:v>21</x:v>
      </x:c>
      <x:c r="B2" t="str">
        <x:v>AM</x:v>
      </x:c>
      <x:c r="C2" t="str">
        <x:v>ORD-2025-00019</x:v>
      </x:c>
      <x:c r="D2" t="str">
        <x:v>Crack</x:v>
      </x:c>
      <x:c r="E2" t="str">
        <x:v>Resorted</x:v>
      </x:c>
      <x:c r="F2" t="str">
        <x:v>PE000001</x:v>
      </x:c>
    </x:row>
    <x:row r="3">
      <x:c r="A3" t="n">
        <x:v>22</x:v>
      </x:c>
      <x:c r="B3" t="str">
        <x:v>PM</x:v>
      </x:c>
      <x:c r="C3" t="str">
        <x:v>ORD-2025-00020</x:v>
      </x:c>
      <x:c r="D3" t="str">
        <x:v>Chip</x:v>
      </x:c>
      <x:c r="E3" t="str">
        <x:v>Move to Cullet</x:v>
      </x:c>
      <x:c r="F3" t="str">
        <x:v>PE000002</x:v>
      </x:c>
    </x:row>
    <x:row r="4">
      <x:c r="A4" t="n">
        <x:v>23</x:v>
      </x:c>
      <x:c r="B4"/>
      <x:c r="C4" t="str">
        <x:v>ORD-2025-00021</x:v>
      </x:c>
      <x:c r="D4" t="str">
        <x:v>Blister</x:v>
      </x:c>
      <x:c r="E4"/>
      <x:c r="F4" t="str">
        <x:v>PE000003</x:v>
      </x:c>
    </x:row>
    <x:row r="5">
      <x:c r="A5" t="n">
        <x:v>24</x:v>
      </x:c>
      <x:c r="B5"/>
      <x:c r="C5" t="str">
        <x:v>ORD-2025-00055</x:v>
      </x:c>
      <x:c r="D5" t="str">
        <x:v>Distortion</x:v>
      </x:c>
      <x:c r="E5"/>
      <x:c r="F5" t="str">
        <x:v>PE000004</x:v>
      </x:c>
    </x:row>
    <x:row r="6">
      <x:c r="A6" t="n">
        <x:v>25</x:v>
      </x:c>
      <x:c r="B6"/>
      <x:c r="C6" t="str">
        <x:v>ORD-2025-00056</x:v>
      </x:c>
      <x:c r="D6" t="str">
        <x:v>Stone</x:v>
      </x:c>
      <x:c r="E6"/>
      <x:c r="F6" t="str">
        <x:v>PE000005</x:v>
      </x:c>
    </x:row>
    <x:row r="7">
      <x:c r="A7"/>
      <x:c r="B7"/>
      <x:c r="C7" t="str">
        <x:v>ORD-2025-00057</x:v>
      </x:c>
      <x:c r="D7" t="str">
        <x:v>Bird Swing</x:v>
      </x:c>
      <x:c r="E7"/>
      <x:c r="F7" t="str">
        <x:v>PE000006</x:v>
      </x:c>
    </x:row>
    <x:row r="8">
      <x:c r="A8"/>
      <x:c r="B8"/>
      <x:c r="C8" t="str">
        <x:v>ORD-2025-00058</x:v>
      </x:c>
      <x:c r="D8" t="str">
        <x:v>Overpress</x:v>
      </x:c>
      <x:c r="E8"/>
      <x:c r="F8" t="str">
        <x:v>PE000007</x:v>
      </x:c>
    </x:row>
    <x:row r="9">
      <x:c r="A9"/>
      <x:c r="B9"/>
      <x:c r="C9" t="str">
        <x:v>ORD-2025-00092</x:v>
      </x:c>
      <x:c r="D9" t="str">
        <x:v>Thin Wall</x:v>
      </x:c>
      <x:c r="E9"/>
      <x:c r="F9" t="str">
        <x:v>PE000008</x:v>
      </x:c>
    </x:row>
    <x:row r="10">
      <x:c r="A10"/>
      <x:c r="B10"/>
      <x:c r="C10" t="str">
        <x:v>ORD-2025-00093</x:v>
      </x:c>
      <x:c r="D10" t="str">
        <x:v>Choke Neck</x:v>
      </x:c>
      <x:c r="E10"/>
      <x:c r="F10" t="str">
        <x:v>PE000009</x:v>
      </x:c>
    </x:row>
    <x:row r="11">
      <x:c r="A11"/>
      <x:c r="B11"/>
      <x:c r="C11" t="str">
        <x:v>ORD-2025-00094</x:v>
      </x:c>
      <x:c r="D11"/>
      <x:c r="E11"/>
      <x:c r="F11" t="str">
        <x:v>PE000010</x:v>
      </x:c>
    </x:row>
    <x:row r="12">
      <x:c r="A12"/>
      <x:c r="B12"/>
      <x:c r="C12" t="str">
        <x:v>ORD-2025-00124</x:v>
      </x:c>
      <x:c r="D12"/>
      <x:c r="E12"/>
      <x:c r="F12" t="str">
        <x:v>PE000011</x:v>
      </x:c>
    </x:row>
    <x:row r="13">
      <x:c r="A13"/>
      <x:c r="B13"/>
      <x:c r="C13" t="str">
        <x:v>ORD-2025-00125</x:v>
      </x:c>
      <x:c r="D13"/>
      <x:c r="E13"/>
      <x:c r="F13" t="str">
        <x:v>PE000012</x:v>
      </x:c>
    </x:row>
    <x:row r="14">
      <x:c r="A14"/>
      <x:c r="B14"/>
      <x:c r="C14" t="str">
        <x:v>ORD-2025-00126</x:v>
      </x:c>
      <x:c r="D14"/>
      <x:c r="E14"/>
      <x:c r="F14" t="str">
        <x:v>PE000013</x:v>
      </x:c>
    </x:row>
    <x:row r="15">
      <x:c r="A15"/>
      <x:c r="B15"/>
      <x:c r="C15" t="str">
        <x:v>ORD-2025-00161</x:v>
      </x:c>
      <x:c r="D15"/>
      <x:c r="E15"/>
      <x:c r="F15" t="str">
        <x:v>PE000014</x:v>
      </x:c>
    </x:row>
    <x:row r="16">
      <x:c r="A16"/>
      <x:c r="B16"/>
      <x:c r="C16" t="str">
        <x:v>ORD-2025-00162</x:v>
      </x:c>
      <x:c r="D16"/>
      <x:c r="E16"/>
      <x:c r="F16" t="str">
        <x:v>PE000015</x:v>
      </x:c>
    </x:row>
    <x:row r="17">
      <x:c r="A17"/>
      <x:c r="B17"/>
      <x:c r="C17"/>
      <x:c r="D17"/>
      <x:c r="E17"/>
      <x:c r="F17" t="str">
        <x:v>PE000016</x:v>
      </x:c>
    </x:row>
    <x:row r="18">
      <x:c r="A18"/>
      <x:c r="B18"/>
      <x:c r="C18"/>
      <x:c r="D18"/>
      <x:c r="E18"/>
      <x:c r="F18" t="str">
        <x:v>PE000017</x:v>
      </x:c>
    </x:row>
    <x:row r="19">
      <x:c r="A19"/>
      <x:c r="B19"/>
      <x:c r="C19"/>
      <x:c r="D19"/>
      <x:c r="E19"/>
      <x:c r="F19" t="str">
        <x:v>PE000018</x:v>
      </x:c>
    </x:row>
    <x:row r="20">
      <x:c r="A20"/>
      <x:c r="B20"/>
      <x:c r="C20"/>
      <x:c r="D20"/>
      <x:c r="E20"/>
      <x:c r="F20" t="str">
        <x:v>PE000019</x:v>
      </x:c>
    </x:row>
    <x:row r="21">
      <x:c r="A21"/>
      <x:c r="B21"/>
      <x:c r="C21"/>
      <x:c r="D21"/>
      <x:c r="E21"/>
      <x:c r="F21" t="str">
        <x:v>PE000020</x:v>
      </x:c>
    </x:row>
    <x:row r="22">
      <x:c r="A22"/>
      <x:c r="B22"/>
      <x:c r="C22"/>
      <x:c r="D22"/>
      <x:c r="E22"/>
      <x:c r="F22" t="str">
        <x:v>PE000021</x:v>
      </x:c>
    </x:row>
    <x:row r="23">
      <x:c r="A23"/>
      <x:c r="B23"/>
      <x:c r="C23"/>
      <x:c r="D23"/>
      <x:c r="E23"/>
      <x:c r="F23" t="str">
        <x:v>PE000022</x:v>
      </x:c>
    </x:row>
    <x:row r="24">
      <x:c r="A24"/>
      <x:c r="B24"/>
      <x:c r="C24"/>
      <x:c r="D24"/>
      <x:c r="E24"/>
      <x:c r="F24" t="str">
        <x:v>PE000023</x:v>
      </x:c>
    </x:row>
    <x:row r="25">
      <x:c r="A25"/>
      <x:c r="B25"/>
      <x:c r="C25"/>
      <x:c r="D25"/>
      <x:c r="E25"/>
      <x:c r="F25" t="str">
        <x:v>PE000024</x:v>
      </x:c>
    </x:row>
    <x:row r="26">
      <x:c r="A26"/>
      <x:c r="B26"/>
      <x:c r="C26"/>
      <x:c r="D26"/>
      <x:c r="E26"/>
      <x:c r="F26" t="str">
        <x:v>PE000025</x:v>
      </x:c>
    </x:row>
    <x:row r="27">
      <x:c r="A27"/>
      <x:c r="B27"/>
      <x:c r="C27"/>
      <x:c r="D27"/>
      <x:c r="E27"/>
      <x:c r="F27" t="str">
        <x:v>PE000026</x:v>
      </x:c>
    </x:row>
    <x:row r="28">
      <x:c r="A28"/>
      <x:c r="B28"/>
      <x:c r="C28"/>
      <x:c r="D28"/>
      <x:c r="E28"/>
      <x:c r="F28" t="str">
        <x:v>PE000027</x:v>
      </x:c>
    </x:row>
    <x:row r="29">
      <x:c r="A29"/>
      <x:c r="B29"/>
      <x:c r="C29"/>
      <x:c r="D29"/>
      <x:c r="E29"/>
      <x:c r="F29" t="str">
        <x:v>PE000028</x:v>
      </x:c>
    </x:row>
    <x:row r="30">
      <x:c r="A30"/>
      <x:c r="B30"/>
      <x:c r="C30"/>
      <x:c r="D30"/>
      <x:c r="E30"/>
      <x:c r="F30" t="str">
        <x:v>PE000029</x:v>
      </x:c>
    </x:row>
    <x:row r="31">
      <x:c r="A31"/>
      <x:c r="B31"/>
      <x:c r="C31"/>
      <x:c r="D31"/>
      <x:c r="E31"/>
      <x:c r="F31" t="str">
        <x:v>PE000030</x:v>
      </x:c>
    </x:row>
    <x:row r="32">
      <x:c r="A32"/>
      <x:c r="B32"/>
      <x:c r="C32"/>
      <x:c r="D32"/>
      <x:c r="E32"/>
      <x:c r="F32" t="str">
        <x:v>PE000031</x:v>
      </x:c>
    </x:row>
    <x:row r="33">
      <x:c r="A33"/>
      <x:c r="B33"/>
      <x:c r="C33"/>
      <x:c r="D33"/>
      <x:c r="E33"/>
      <x:c r="F33" t="str">
        <x:v>PE000032</x:v>
      </x:c>
    </x:row>
    <x:row r="34">
      <x:c r="A34"/>
      <x:c r="B34"/>
      <x:c r="C34"/>
      <x:c r="D34"/>
      <x:c r="E34"/>
      <x:c r="F34" t="str">
        <x:v>PE000033</x:v>
      </x:c>
    </x:row>
    <x:row r="35">
      <x:c r="A35"/>
      <x:c r="B35"/>
      <x:c r="C35"/>
      <x:c r="D35"/>
      <x:c r="E35"/>
      <x:c r="F35" t="str">
        <x:v>PE000034</x:v>
      </x:c>
    </x:row>
    <x:row r="36">
      <x:c r="A36"/>
      <x:c r="B36"/>
      <x:c r="C36"/>
      <x:c r="D36"/>
      <x:c r="E36"/>
      <x:c r="F36" t="str">
        <x:v>PE000035</x:v>
      </x:c>
    </x:row>
    <x:row r="37">
      <x:c r="A37"/>
      <x:c r="B37"/>
      <x:c r="C37"/>
      <x:c r="D37"/>
      <x:c r="E37"/>
      <x:c r="F37" t="str">
        <x:v>PE000036</x:v>
      </x:c>
    </x:row>
    <x:row r="38">
      <x:c r="A38"/>
      <x:c r="B38"/>
      <x:c r="C38"/>
      <x:c r="D38"/>
      <x:c r="E38"/>
      <x:c r="F38" t="str">
        <x:v>PE000037</x:v>
      </x:c>
    </x:row>
    <x:row r="39">
      <x:c r="A39"/>
      <x:c r="B39"/>
      <x:c r="C39"/>
      <x:c r="D39"/>
      <x:c r="E39"/>
      <x:c r="F39" t="str">
        <x:v>PE000038</x:v>
      </x:c>
    </x:row>
    <x:row r="40">
      <x:c r="A40"/>
      <x:c r="B40"/>
      <x:c r="C40"/>
      <x:c r="D40"/>
      <x:c r="E40"/>
      <x:c r="F40" t="str">
        <x:v>PE000039</x:v>
      </x:c>
    </x:row>
    <x:row r="41">
      <x:c r="A41"/>
      <x:c r="B41"/>
      <x:c r="C41"/>
      <x:c r="D41"/>
      <x:c r="E41"/>
      <x:c r="F41" t="str">
        <x:v>PE000040</x:v>
      </x:c>
    </x:row>
    <x:row r="42">
      <x:c r="A42"/>
      <x:c r="B42"/>
      <x:c r="C42"/>
      <x:c r="D42"/>
      <x:c r="E42"/>
      <x:c r="F42" t="str">
        <x:v>PE000041</x:v>
      </x:c>
    </x:row>
    <x:row r="43">
      <x:c r="A43"/>
      <x:c r="B43"/>
      <x:c r="C43"/>
      <x:c r="D43"/>
      <x:c r="E43"/>
      <x:c r="F43" t="str">
        <x:v>PE000042</x:v>
      </x:c>
    </x:row>
    <x:row r="44">
      <x:c r="A44"/>
      <x:c r="B44"/>
      <x:c r="C44"/>
      <x:c r="D44"/>
      <x:c r="E44"/>
      <x:c r="F44" t="str">
        <x:v>PE000043</x:v>
      </x:c>
    </x:row>
    <x:row r="45">
      <x:c r="A45"/>
      <x:c r="B45"/>
      <x:c r="C45"/>
      <x:c r="D45"/>
      <x:c r="E45"/>
      <x:c r="F45" t="str">
        <x:v>PE000044</x:v>
      </x:c>
    </x:row>
    <x:row r="46">
      <x:c r="A46"/>
      <x:c r="B46"/>
      <x:c r="C46"/>
      <x:c r="D46"/>
      <x:c r="E46"/>
      <x:c r="F46" t="str">
        <x:v>PE000045</x:v>
      </x:c>
    </x:row>
    <x:row r="47">
      <x:c r="A47"/>
      <x:c r="B47"/>
      <x:c r="C47"/>
      <x:c r="D47"/>
      <x:c r="E47"/>
      <x:c r="F47" t="str">
        <x:v>PE000046</x:v>
      </x:c>
    </x:row>
    <x:row r="48">
      <x:c r="A48"/>
      <x:c r="B48"/>
      <x:c r="C48"/>
      <x:c r="D48"/>
      <x:c r="E48"/>
      <x:c r="F48" t="str">
        <x:v>PE000047</x:v>
      </x:c>
    </x:row>
    <x:row r="49">
      <x:c r="A49"/>
      <x:c r="B49"/>
      <x:c r="C49"/>
      <x:c r="D49"/>
      <x:c r="E49"/>
      <x:c r="F49" t="str">
        <x:v>PE000048</x:v>
      </x:c>
    </x:row>
    <x:row r="50">
      <x:c r="A50"/>
      <x:c r="B50"/>
      <x:c r="C50"/>
      <x:c r="D50"/>
      <x:c r="E50"/>
      <x:c r="F50" t="str">
        <x:v>PE000049</x:v>
      </x:c>
    </x:row>
    <x:row r="51">
      <x:c r="A51"/>
      <x:c r="B51"/>
      <x:c r="C51"/>
      <x:c r="D51"/>
      <x:c r="E51"/>
      <x:c r="F51" t="str">
        <x:v>PE000050</x:v>
      </x:c>
    </x:row>
    <x:row r="52">
      <x:c r="A52"/>
      <x:c r="B52"/>
      <x:c r="C52"/>
      <x:c r="D52"/>
      <x:c r="E52"/>
      <x:c r="F52" t="str">
        <x:v>PE000051</x:v>
      </x:c>
    </x:row>
    <x:row r="53">
      <x:c r="A53"/>
      <x:c r="B53"/>
      <x:c r="C53"/>
      <x:c r="D53"/>
      <x:c r="E53"/>
      <x:c r="F53" t="str">
        <x:v>PE000052</x:v>
      </x:c>
    </x:row>
    <x:row r="54">
      <x:c r="A54"/>
      <x:c r="B54"/>
      <x:c r="C54"/>
      <x:c r="D54"/>
      <x:c r="E54"/>
      <x:c r="F54" t="str">
        <x:v>PE000053</x:v>
      </x:c>
    </x:row>
    <x:row r="55">
      <x:c r="A55"/>
      <x:c r="B55"/>
      <x:c r="C55"/>
      <x:c r="D55"/>
      <x:c r="E55"/>
      <x:c r="F55" t="str">
        <x:v>PE000054</x:v>
      </x:c>
    </x:row>
    <x:row r="56">
      <x:c r="A56"/>
      <x:c r="B56"/>
      <x:c r="C56"/>
      <x:c r="D56"/>
      <x:c r="E56"/>
      <x:c r="F56" t="str">
        <x:v>PE000055</x:v>
      </x:c>
    </x:row>
    <x:row r="57">
      <x:c r="A57"/>
      <x:c r="B57"/>
      <x:c r="C57"/>
      <x:c r="D57"/>
      <x:c r="E57"/>
      <x:c r="F57" t="str">
        <x:v>PE000056</x:v>
      </x:c>
    </x:row>
    <x:row r="58">
      <x:c r="A58"/>
      <x:c r="B58"/>
      <x:c r="C58"/>
      <x:c r="D58"/>
      <x:c r="E58"/>
      <x:c r="F58" t="str">
        <x:v>PE000057</x:v>
      </x:c>
    </x:row>
    <x:row r="59">
      <x:c r="A59"/>
      <x:c r="B59"/>
      <x:c r="C59"/>
      <x:c r="D59"/>
      <x:c r="E59"/>
      <x:c r="F59" t="str">
        <x:v>PE000058</x:v>
      </x:c>
    </x:row>
    <x:row r="60">
      <x:c r="A60"/>
      <x:c r="B60"/>
      <x:c r="C60"/>
      <x:c r="D60"/>
      <x:c r="E60"/>
      <x:c r="F60" t="str">
        <x:v>PE000059</x:v>
      </x:c>
    </x:row>
    <x:row r="61">
      <x:c r="A61"/>
      <x:c r="B61"/>
      <x:c r="C61"/>
      <x:c r="D61"/>
      <x:c r="E61"/>
      <x:c r="F61" t="str">
        <x:v>PE000060</x:v>
      </x:c>
    </x:row>
    <x:row r="62">
      <x:c r="A62"/>
      <x:c r="B62"/>
      <x:c r="C62"/>
      <x:c r="D62"/>
      <x:c r="E62"/>
      <x:c r="F62" t="str">
        <x:v>PE000061</x:v>
      </x:c>
    </x:row>
    <x:row r="63">
      <x:c r="A63"/>
      <x:c r="B63"/>
      <x:c r="C63"/>
      <x:c r="D63"/>
      <x:c r="E63"/>
      <x:c r="F63" t="str">
        <x:v>PE000062</x:v>
      </x:c>
    </x:row>
    <x:row r="64">
      <x:c r="A64"/>
      <x:c r="B64"/>
      <x:c r="C64"/>
      <x:c r="D64"/>
      <x:c r="E64"/>
      <x:c r="F64" t="str">
        <x:v>PE000063</x:v>
      </x:c>
    </x:row>
    <x:row r="65">
      <x:c r="A65"/>
      <x:c r="B65"/>
      <x:c r="C65"/>
      <x:c r="D65"/>
      <x:c r="E65"/>
      <x:c r="F65" t="str">
        <x:v>PE000064</x:v>
      </x:c>
    </x:row>
    <x:row r="66">
      <x:c r="A66"/>
      <x:c r="B66"/>
      <x:c r="C66"/>
      <x:c r="D66"/>
      <x:c r="E66"/>
      <x:c r="F66" t="str">
        <x:v>PE000065</x:v>
      </x:c>
    </x:row>
    <x:row r="67">
      <x:c r="A67"/>
      <x:c r="B67"/>
      <x:c r="C67"/>
      <x:c r="D67"/>
      <x:c r="E67"/>
      <x:c r="F67" t="str">
        <x:v>PE000066</x:v>
      </x:c>
    </x:row>
    <x:row r="68">
      <x:c r="A68"/>
      <x:c r="B68"/>
      <x:c r="C68"/>
      <x:c r="D68"/>
      <x:c r="E68"/>
      <x:c r="F68" t="str">
        <x:v>PE000067</x:v>
      </x:c>
    </x:row>
    <x:row r="69">
      <x:c r="A69"/>
      <x:c r="B69"/>
      <x:c r="C69"/>
      <x:c r="D69"/>
      <x:c r="E69"/>
      <x:c r="F69" t="str">
        <x:v>PE000068</x:v>
      </x:c>
    </x:row>
    <x:row r="70">
      <x:c r="A70"/>
      <x:c r="B70"/>
      <x:c r="C70"/>
      <x:c r="D70"/>
      <x:c r="E70"/>
      <x:c r="F70" t="str">
        <x:v>PE000069</x:v>
      </x:c>
    </x:row>
    <x:row r="71">
      <x:c r="A71"/>
      <x:c r="B71"/>
      <x:c r="C71"/>
      <x:c r="D71"/>
      <x:c r="E71"/>
      <x:c r="F71" t="str">
        <x:v>PE000070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1.630001068115234" hidden="0" customWidth="1"/>
    <x:col min="2" max="2" width="7.5" hidden="0" customWidth="1"/>
    <x:col min="3" max="3" width="5.380000114440918" hidden="0" customWidth="1"/>
    <x:col min="4" max="4" width="5.25" hidden="0" customWidth="1"/>
  </x:cols>
  <x:sheetData>
    <x:row r="1">
      <x:c r="A1" s="12" t="str">
        <x:v>QUALITY LOG VALIDATION SUMMARY</x:v>
      </x:c>
      <x:c r="B1" s="12"/>
      <x:c r="C1" s="12"/>
      <x:c r="D1" s="12"/>
    </x:row>
    <x:row r="2">
      <x:c r="A2" s="13" t="str">
        <x:v>Review before ETL / Power BI refresh.</x:v>
      </x:c>
      <x:c r="B2" s="13"/>
      <x:c r="C2" s="13"/>
      <x:c r="D2" s="13"/>
    </x:row>
    <x:row r="3">
      <x:c r="A3" s="13"/>
      <x:c r="B3" s="13"/>
      <x:c r="C3" s="13"/>
      <x:c r="D3" s="13"/>
    </x:row>
    <x:row r="4">
      <x:c r="A4" s="8" t="str">
        <x:v>Check</x:v>
      </x:c>
      <x:c r="B4" s="8" t="str">
        <x:v>Expected</x:v>
      </x:c>
      <x:c r="C4" s="8" t="str">
        <x:v>Actual</x:v>
      </x:c>
      <x:c r="D4" s="8" t="str">
        <x:v>Status</x:v>
      </x:c>
    </x:row>
    <x:row r="5">
      <x:c r="A5" s="13" t="str">
        <x:v>Sampling rows</x:v>
      </x:c>
      <x:c r="B5" s="13" t="n">
        <x:v>145</x:v>
      </x:c>
      <x:c r="C5" s="13" t="n">
        <x:f>COUNTA(SamplingDefectLog!J5:J149)</x:f>
        <x:v>145</x:v>
      </x:c>
      <x:c r="D5" s="13" t="str">
        <x:f>IF(B5=C5,"OK","CHECK")</x:f>
        <x:v>OK</x:v>
      </x:c>
    </x:row>
    <x:row r="6">
      <x:c r="A6" s="13" t="str">
        <x:v>Sampling quantity errors</x:v>
      </x:c>
      <x:c r="B6" s="13" t="n">
        <x:v>0</x:v>
      </x:c>
      <x:c r="C6" s="13" t="n">
        <x:f>COUNTIF(SamplingDefectLog!L5:L149,"&lt;&gt;OK")</x:f>
        <x:v>0</x:v>
      </x:c>
      <x:c r="D6" s="13" t="str">
        <x:f>IF(B6=C6,"OK","CHECK")</x:f>
        <x:v>OK</x:v>
      </x:c>
    </x:row>
    <x:row r="7">
      <x:c r="A7" s="13" t="str">
        <x:v>Sampling production-link errors</x:v>
      </x:c>
      <x:c r="B7" s="13" t="n">
        <x:v>0</x:v>
      </x:c>
      <x:c r="C7" s="13" t="n">
        <x:f>COUNTIF(SamplingDefectLog!M5:M149,"&lt;&gt;OK")</x:f>
        <x:v>0</x:v>
      </x:c>
      <x:c r="D7" s="13" t="str">
        <x:f>IF(B7=C7,"OK","CHECK")</x:f>
        <x:v>OK</x:v>
      </x:c>
    </x:row>
    <x:row r="8">
      <x:c r="A8" s="13" t="str">
        <x:v>Sampling shift mismatches</x:v>
      </x:c>
      <x:c r="B8" s="13" t="n">
        <x:v>0</x:v>
      </x:c>
      <x:c r="C8" s="13" t="n">
        <x:f>COUNTIF(SamplingDefectLog!N5:N149,"&lt;&gt;OK")</x:f>
        <x:v>0</x:v>
      </x:c>
      <x:c r="D8" s="13" t="str">
        <x:f>IF(B8=C8,"OK","CHECK")</x:f>
        <x:v>OK</x:v>
      </x:c>
    </x:row>
    <x:row r="9">
      <x:c r="A9" s="13" t="str">
        <x:v>Sampling duplicate natural grains</x:v>
      </x:c>
      <x:c r="B9" s="13" t="n">
        <x:v>0</x:v>
      </x:c>
      <x:c r="C9" s="13" t="n">
        <x:f>COUNTIF(SamplingDefectLog!O5:O149,"&lt;&gt;OK")</x:f>
        <x:v>0</x:v>
      </x:c>
      <x:c r="D9" s="13" t="str">
        <x:f>IF(B9=C9,"OK","CHECK")</x:f>
        <x:v>OK</x:v>
      </x:c>
    </x:row>
    <x:row r="10">
      <x:c r="A10" s="13" t="str">
        <x:v>Sampling rows belonging to multi-defect sample events</x:v>
      </x:c>
      <x:c r="B10" s="13" t="n">
        <x:v>0</x:v>
      </x:c>
      <x:c r="C10" s="13" t="n">
        <x:f>COUNTIF(SamplingDefectLog!P5:P149,"&gt;1")</x:f>
        <x:v>0</x:v>
      </x:c>
      <x:c r="D10" s="13" t="str">
        <x:f>IF(B10=C10,"OK","CHECK")</x:f>
        <x:v>OK</x:v>
      </x:c>
    </x:row>
    <x:row r="11">
      <x:c r="A11" s="13" t="str">
        <x:v>Rework rows</x:v>
      </x:c>
      <x:c r="B11" s="13" t="n">
        <x:v>18</x:v>
      </x:c>
      <x:c r="C11" s="13" t="n">
        <x:f>COUNTA(Rework!I5:I22)</x:f>
        <x:v>18</x:v>
      </x:c>
      <x:c r="D11" s="13" t="str">
        <x:f>IF(B11=C11,"OK","CHECK")</x:f>
        <x:v>OK</x:v>
      </x:c>
    </x:row>
    <x:row r="12">
      <x:c r="A12" s="13" t="str">
        <x:v>Rework hold-capacity errors</x:v>
      </x:c>
      <x:c r="B12" s="13" t="n">
        <x:v>0</x:v>
      </x:c>
      <x:c r="C12" s="13" t="n">
        <x:f>COUNTIF(Rework!M5:M22,"&lt;&gt;OK")</x:f>
        <x:v>0</x:v>
      </x:c>
      <x:c r="D12" s="13" t="str">
        <x:f>IF(B12=C12,"OK","CHECK")</x:f>
        <x:v>OK</x:v>
      </x:c>
    </x:row>
    <x:row r="13">
      <x:c r="A13" s="13" t="str">
        <x:v>Rework production-link errors</x:v>
      </x:c>
      <x:c r="B13" s="13" t="n">
        <x:v>0</x:v>
      </x:c>
      <x:c r="C13" s="13" t="n">
        <x:f>COUNTIF(Rework!N5:N22,"&lt;&gt;OK")</x:f>
        <x:v>0</x:v>
      </x:c>
      <x:c r="D13" s="13" t="str">
        <x:f>IF(B13=C13,"OK","CHECK")</x:f>
        <x:v>OK</x:v>
      </x:c>
    </x:row>
    <x:row r="14">
      <x:c r="A14" s="13" t="str">
        <x:v>Rework duplicate natural grains</x:v>
      </x:c>
      <x:c r="B14" s="13" t="n">
        <x:v>0</x:v>
      </x:c>
      <x:c r="C14" s="13" t="n">
        <x:f>COUNTIF(Rework!O5:O22,"&lt;&gt;OK")</x:f>
        <x:v>0</x:v>
      </x:c>
      <x:c r="D14" s="13" t="str">
        <x:f>IF(B14=C14,"OK","CHECK")</x:f>
        <x:v>OK</x:v>
      </x:c>
    </x:row>
  </x:sheetData>
  <x:conditionalFormatting sqref="D5:D14">
    <x:cfRule type="expression" dxfId="8" priority="1">
      <x:formula>D5="OK"</x:formula>
    </x:cfRule>
    <x:cfRule type="expression" dxfId="9" priority="2">
      <x:formula>D5&lt;&gt;"OK"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5e0dd390ae4835"/>
  </x:tableParts>
</x:worksheet>
</file>